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3.xml" ContentType="application/vnd.openxmlformats-officedocument.drawing+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4.xml" ContentType="application/vnd.openxmlformats-officedocument.drawing+xml"/>
  <Override PartName="/xl/charts/chart25.xml" ContentType="application/vnd.openxmlformats-officedocument.drawingml.chart+xml"/>
  <Override PartName="/xl/charts/style23.xml" ContentType="application/vnd.ms-office.chartstyle+xml"/>
  <Override PartName="/xl/charts/colors23.xml" ContentType="application/vnd.ms-office.chartcolorstyle+xml"/>
  <Override PartName="/xl/charts/chart26.xml" ContentType="application/vnd.openxmlformats-officedocument.drawingml.chart+xml"/>
  <Override PartName="/xl/charts/style24.xml" ContentType="application/vnd.ms-office.chartstyle+xml"/>
  <Override PartName="/xl/charts/colors24.xml" ContentType="application/vnd.ms-office.chartcolorstyle+xml"/>
  <Override PartName="/xl/charts/chart27.xml" ContentType="application/vnd.openxmlformats-officedocument.drawingml.chart+xml"/>
  <Override PartName="/xl/charts/style25.xml" ContentType="application/vnd.ms-office.chartstyle+xml"/>
  <Override PartName="/xl/charts/colors25.xml" ContentType="application/vnd.ms-office.chartcolorstyle+xml"/>
  <Override PartName="/xl/charts/chart28.xml" ContentType="application/vnd.openxmlformats-officedocument.drawingml.chart+xml"/>
  <Override PartName="/xl/charts/style26.xml" ContentType="application/vnd.ms-office.chartstyle+xml"/>
  <Override PartName="/xl/charts/colors26.xml" ContentType="application/vnd.ms-office.chartcolorstyle+xml"/>
  <Override PartName="/xl/charts/chart29.xml" ContentType="application/vnd.openxmlformats-officedocument.drawingml.chart+xml"/>
  <Override PartName="/xl/charts/style27.xml" ContentType="application/vnd.ms-office.chartstyle+xml"/>
  <Override PartName="/xl/charts/colors27.xml" ContentType="application/vnd.ms-office.chartcolorstyle+xml"/>
  <Override PartName="/xl/pivotTables/pivotTable19.xml" ContentType="application/vnd.openxmlformats-officedocument.spreadsheetml.pivotTable+xml"/>
  <Override PartName="/xl/drawings/drawing5.xml" ContentType="application/vnd.openxmlformats-officedocument.drawing+xml"/>
  <Override PartName="/xl/charts/chart30.xml" ContentType="application/vnd.openxmlformats-officedocument.drawingml.chart+xml"/>
  <Override PartName="/xl/charts/style28.xml" ContentType="application/vnd.ms-office.chartstyle+xml"/>
  <Override PartName="/xl/charts/colors28.xml" ContentType="application/vnd.ms-office.chartcolorstyle+xml"/>
  <Override PartName="/xl/charts/chart31.xml" ContentType="application/vnd.openxmlformats-officedocument.drawingml.chart+xml"/>
  <Override PartName="/xl/charts/style29.xml" ContentType="application/vnd.ms-office.chartstyle+xml"/>
  <Override PartName="/xl/charts/colors29.xml" ContentType="application/vnd.ms-office.chartcolorstyle+xml"/>
  <Override PartName="/xl/charts/chart32.xml" ContentType="application/vnd.openxmlformats-officedocument.drawingml.chart+xml"/>
  <Override PartName="/xl/charts/style30.xml" ContentType="application/vnd.ms-office.chartstyle+xml"/>
  <Override PartName="/xl/charts/colors3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EE27466C716A66BF/Documents/AlmaX Projects/Integrated Operations Analysis on Manufacturing Company/"/>
    </mc:Choice>
  </mc:AlternateContent>
  <xr:revisionPtr revIDLastSave="1638" documentId="8_{B64F626B-9D2D-4421-A8B9-C1745252DA39}" xr6:coauthVersionLast="47" xr6:coauthVersionMax="47" xr10:uidLastSave="{0009CD2C-7E39-49D3-9865-60A57DBF2794}"/>
  <bookViews>
    <workbookView xWindow="-108" yWindow="-108" windowWidth="23256" windowHeight="12456" activeTab="4" xr2:uid="{E14F7623-7799-4764-BEB6-10CB6FE487BD}"/>
  </bookViews>
  <sheets>
    <sheet name="Customer_payments" sheetId="2" r:id="rId1"/>
    <sheet name="Employee_details" sheetId="3" r:id="rId2"/>
    <sheet name="Shipment_Status" sheetId="4" r:id="rId3"/>
    <sheet name="Workbook" sheetId="5" r:id="rId4"/>
    <sheet name="Dashboard_Overview" sheetId="6" r:id="rId5"/>
    <sheet name="CUSTOMER_ANALYSIS_DASHBOARD" sheetId="7" r:id="rId6"/>
    <sheet name="SHIPMENT &amp; LOGISTICS DASHBOARD" sheetId="8" r:id="rId7"/>
    <sheet name="EMPLOYEE PERFORMANCE DASHBOARD" sheetId="9" r:id="rId8"/>
  </sheets>
  <definedNames>
    <definedName name="_xlnm._FilterDatabase" localSheetId="2" hidden="1">Shipment_Status!$N$1:$P$201</definedName>
    <definedName name="ExternalData_1" localSheetId="0" hidden="1">'Customer_payments'!$A$1:$I$201</definedName>
    <definedName name="ExternalData_2" localSheetId="1" hidden="1">Employee_details!$A$1:$E$201</definedName>
    <definedName name="ExternalData_3" localSheetId="2" hidden="1">Shipment_Status!$A$1:$M$201</definedName>
    <definedName name="Slicer_Current_Status">#N/A</definedName>
    <definedName name="Slicer_Customer_Type">#N/A</definedName>
    <definedName name="Slicer_E_BRANCH">#N/A</definedName>
    <definedName name="Slicer_Payment_Mode">#N/A</definedName>
    <definedName name="Slicer_PaymentCategory">#N/A</definedName>
    <definedName name="Slicer_Shipment_Domain">#N/A</definedName>
  </definedNames>
  <calcPr calcId="191029"/>
  <pivotCaches>
    <pivotCache cacheId="0" r:id="rId9"/>
    <pivotCache cacheId="1" r:id="rId10"/>
    <pivotCache cacheId="2" r:id="rId11"/>
    <pivotCache cacheId="3" r:id="rId12"/>
    <pivotCache cacheId="4" r:id="rId13"/>
    <pivotCache cacheId="5"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4" l="1"/>
  <c r="O2" i="4" s="1"/>
  <c r="N3" i="4"/>
  <c r="O3" i="4" s="1"/>
  <c r="N4" i="4"/>
  <c r="O4" i="4" s="1"/>
  <c r="N5" i="4"/>
  <c r="O5" i="4" s="1"/>
  <c r="N6" i="4"/>
  <c r="O6" i="4" s="1"/>
  <c r="N7" i="4"/>
  <c r="O7" i="4" s="1"/>
  <c r="N8" i="4"/>
  <c r="N9" i="4"/>
  <c r="N10" i="4"/>
  <c r="N11" i="4"/>
  <c r="N12" i="4"/>
  <c r="N13" i="4"/>
  <c r="N14" i="4"/>
  <c r="N15" i="4"/>
  <c r="N16" i="4"/>
  <c r="N17" i="4"/>
  <c r="N18" i="4"/>
  <c r="N19" i="4"/>
  <c r="N20" i="4"/>
  <c r="N21" i="4"/>
  <c r="O21" i="4" s="1"/>
  <c r="N22" i="4"/>
  <c r="N23" i="4"/>
  <c r="O23" i="4" s="1"/>
  <c r="N24" i="4"/>
  <c r="O24" i="4" s="1"/>
  <c r="N25" i="4"/>
  <c r="O25" i="4" s="1"/>
  <c r="N26" i="4"/>
  <c r="O26" i="4" s="1"/>
  <c r="N27" i="4"/>
  <c r="O27" i="4" s="1"/>
  <c r="N28" i="4"/>
  <c r="O28" i="4" s="1"/>
  <c r="N29" i="4"/>
  <c r="O29" i="4" s="1"/>
  <c r="N30" i="4"/>
  <c r="O30" i="4" s="1"/>
  <c r="N31" i="4"/>
  <c r="O31" i="4" s="1"/>
  <c r="N32" i="4"/>
  <c r="O32" i="4" s="1"/>
  <c r="N33" i="4"/>
  <c r="O33" i="4" s="1"/>
  <c r="N34" i="4"/>
  <c r="O34" i="4" s="1"/>
  <c r="N35" i="4"/>
  <c r="O35" i="4" s="1"/>
  <c r="N36" i="4"/>
  <c r="O36" i="4" s="1"/>
  <c r="N37" i="4"/>
  <c r="O37" i="4" s="1"/>
  <c r="N38" i="4"/>
  <c r="O38" i="4" s="1"/>
  <c r="N39" i="4"/>
  <c r="O39" i="4" s="1"/>
  <c r="N40" i="4"/>
  <c r="O40" i="4" s="1"/>
  <c r="N41" i="4"/>
  <c r="O41" i="4" s="1"/>
  <c r="N42" i="4"/>
  <c r="O42" i="4" s="1"/>
  <c r="N43" i="4"/>
  <c r="O43" i="4" s="1"/>
  <c r="N44" i="4"/>
  <c r="O44" i="4" s="1"/>
  <c r="N45" i="4"/>
  <c r="O45" i="4" s="1"/>
  <c r="N46" i="4"/>
  <c r="O46" i="4" s="1"/>
  <c r="N47" i="4"/>
  <c r="O47" i="4" s="1"/>
  <c r="N48" i="4"/>
  <c r="O48" i="4" s="1"/>
  <c r="N49" i="4"/>
  <c r="O49" i="4" s="1"/>
  <c r="N50" i="4"/>
  <c r="O50" i="4" s="1"/>
  <c r="N51" i="4"/>
  <c r="O51" i="4" s="1"/>
  <c r="N52" i="4"/>
  <c r="O52" i="4" s="1"/>
  <c r="N53" i="4"/>
  <c r="O53" i="4" s="1"/>
  <c r="N54" i="4"/>
  <c r="O54" i="4" s="1"/>
  <c r="N55" i="4"/>
  <c r="O55" i="4" s="1"/>
  <c r="N56" i="4"/>
  <c r="O56" i="4" s="1"/>
  <c r="N57" i="4"/>
  <c r="O57" i="4" s="1"/>
  <c r="N58" i="4"/>
  <c r="O58" i="4" s="1"/>
  <c r="N59" i="4"/>
  <c r="O59" i="4" s="1"/>
  <c r="N60" i="4"/>
  <c r="O60" i="4" s="1"/>
  <c r="N61" i="4"/>
  <c r="N62" i="4"/>
  <c r="N63" i="4"/>
  <c r="N64" i="4"/>
  <c r="N65" i="4"/>
  <c r="N66" i="4"/>
  <c r="N67" i="4"/>
  <c r="N68" i="4"/>
  <c r="N69" i="4"/>
  <c r="N70" i="4"/>
  <c r="N71" i="4"/>
  <c r="N72" i="4"/>
  <c r="N73" i="4"/>
  <c r="N74" i="4"/>
  <c r="N75" i="4"/>
  <c r="N76" i="4"/>
  <c r="N77" i="4"/>
  <c r="N78" i="4"/>
  <c r="N79" i="4"/>
  <c r="N80" i="4"/>
  <c r="N81" i="4"/>
  <c r="O81" i="4" s="1"/>
  <c r="N82" i="4"/>
  <c r="O82" i="4" s="1"/>
  <c r="N83" i="4"/>
  <c r="O83" i="4" s="1"/>
  <c r="N84" i="4"/>
  <c r="O84" i="4" s="1"/>
  <c r="N85" i="4"/>
  <c r="O85" i="4" s="1"/>
  <c r="N86" i="4"/>
  <c r="O86" i="4" s="1"/>
  <c r="N87" i="4"/>
  <c r="O87" i="4" s="1"/>
  <c r="N88" i="4"/>
  <c r="O88" i="4" s="1"/>
  <c r="N89" i="4"/>
  <c r="O89" i="4" s="1"/>
  <c r="N90" i="4"/>
  <c r="O90" i="4" s="1"/>
  <c r="N91" i="4"/>
  <c r="O91" i="4" s="1"/>
  <c r="N92" i="4"/>
  <c r="O92" i="4" s="1"/>
  <c r="N93" i="4"/>
  <c r="O93" i="4" s="1"/>
  <c r="N94" i="4"/>
  <c r="O94" i="4" s="1"/>
  <c r="N95" i="4"/>
  <c r="O95" i="4" s="1"/>
  <c r="N96" i="4"/>
  <c r="O96" i="4" s="1"/>
  <c r="N97" i="4"/>
  <c r="O97" i="4" s="1"/>
  <c r="N98" i="4"/>
  <c r="O98" i="4" s="1"/>
  <c r="N99" i="4"/>
  <c r="O99" i="4" s="1"/>
  <c r="N100" i="4"/>
  <c r="O100" i="4" s="1"/>
  <c r="N101" i="4"/>
  <c r="O101" i="4" s="1"/>
  <c r="N102" i="4"/>
  <c r="O102" i="4" s="1"/>
  <c r="N103" i="4"/>
  <c r="O103" i="4" s="1"/>
  <c r="N104" i="4"/>
  <c r="N105" i="4"/>
  <c r="N106" i="4"/>
  <c r="O106" i="4" s="1"/>
  <c r="N107" i="4"/>
  <c r="O107" i="4" s="1"/>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O142" i="4" s="1"/>
  <c r="N143" i="4"/>
  <c r="O143" i="4" s="1"/>
  <c r="N144" i="4"/>
  <c r="O144" i="4" s="1"/>
  <c r="N145" i="4"/>
  <c r="O145" i="4" s="1"/>
  <c r="N146" i="4"/>
  <c r="O146" i="4" s="1"/>
  <c r="N147" i="4"/>
  <c r="O147" i="4" s="1"/>
  <c r="N148" i="4"/>
  <c r="O148" i="4" s="1"/>
  <c r="N149" i="4"/>
  <c r="O149" i="4" s="1"/>
  <c r="N150" i="4"/>
  <c r="O150" i="4" s="1"/>
  <c r="N151" i="4"/>
  <c r="O151" i="4" s="1"/>
  <c r="N152" i="4"/>
  <c r="O152" i="4" s="1"/>
  <c r="N153" i="4"/>
  <c r="O153" i="4" s="1"/>
  <c r="N154" i="4"/>
  <c r="O154" i="4" s="1"/>
  <c r="N155" i="4"/>
  <c r="O155" i="4" s="1"/>
  <c r="N156" i="4"/>
  <c r="O156" i="4" s="1"/>
  <c r="N157" i="4"/>
  <c r="O157" i="4" s="1"/>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O8" i="4"/>
  <c r="O9" i="4"/>
  <c r="O10" i="4"/>
  <c r="O11" i="4"/>
  <c r="O12" i="4"/>
  <c r="O13" i="4"/>
  <c r="O14" i="4"/>
  <c r="O15" i="4"/>
  <c r="O16" i="4"/>
  <c r="O17" i="4"/>
  <c r="O18" i="4"/>
  <c r="O19" i="4"/>
  <c r="O20" i="4"/>
  <c r="O22" i="4"/>
  <c r="O61" i="4"/>
  <c r="O62" i="4"/>
  <c r="O63" i="4"/>
  <c r="O64" i="4"/>
  <c r="O65" i="4"/>
  <c r="O66" i="4"/>
  <c r="O67" i="4"/>
  <c r="O68" i="4"/>
  <c r="O69" i="4"/>
  <c r="O70" i="4"/>
  <c r="O71" i="4"/>
  <c r="O72" i="4"/>
  <c r="O73" i="4"/>
  <c r="O74" i="4"/>
  <c r="O75" i="4"/>
  <c r="O76" i="4"/>
  <c r="O77" i="4"/>
  <c r="O78" i="4"/>
  <c r="O79" i="4"/>
  <c r="O80"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104" i="4"/>
  <c r="O105"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 i="4"/>
  <c r="L10" i="5"/>
  <c r="N10" i="5" s="1"/>
  <c r="K7" i="5"/>
  <c r="C4" i="5"/>
  <c r="G7" i="5"/>
  <c r="C7" i="5"/>
  <c r="T4" i="5"/>
  <c r="P4" i="5"/>
  <c r="L4" i="5"/>
  <c r="H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441313-2FEB-4968-A8C9-CE39EB06EFD5}" keepAlive="1" name="Query - Customer_payments" description="Connection to the 'Customer_payments' query in the workbook." type="5" refreshedVersion="8" background="1" saveData="1">
    <dbPr connection="Provider=Microsoft.Mashup.OleDb.1;Data Source=$Workbook$;Location=Customer_payments;Extended Properties=&quot;&quot;" command="SELECT * FROM [Customer_payments]"/>
  </connection>
  <connection id="2" xr16:uid="{16E82E49-3A0C-4804-8690-A7217DFFAF89}" keepAlive="1" name="Query - Employee_details" description="Connection to the 'Employee_details' query in the workbook." type="5" refreshedVersion="8" background="1" saveData="1">
    <dbPr connection="Provider=Microsoft.Mashup.OleDb.1;Data Source=$Workbook$;Location=Employee_details;Extended Properties=&quot;&quot;" command="SELECT * FROM [Employee_details]"/>
  </connection>
  <connection id="3" xr16:uid="{823C3110-0BEF-4541-99A1-08987F9002A8}" keepAlive="1" name="Query - Shipment_Status" description="Connection to the 'Shipment_Status' query in the workbook." type="5" refreshedVersion="8" background="1" saveData="1">
    <dbPr connection="Provider=Microsoft.Mashup.OleDb.1;Data Source=$Workbook$;Location=Shipment_Status;Extended Properties=&quot;&quot;" command="SELECT * FROM [Shipment_Status]"/>
  </connection>
</connections>
</file>

<file path=xl/sharedStrings.xml><?xml version="1.0" encoding="utf-8"?>
<sst xmlns="http://schemas.openxmlformats.org/spreadsheetml/2006/main" count="3072" uniqueCount="852">
  <si>
    <t>C_ID</t>
  </si>
  <si>
    <t>Customer_Name</t>
  </si>
  <si>
    <t>Customer_Type</t>
  </si>
  <si>
    <t>Customer_Age</t>
  </si>
  <si>
    <t>Payment_Mode</t>
  </si>
  <si>
    <t>Payment_Status</t>
  </si>
  <si>
    <t>Payment_Date</t>
  </si>
  <si>
    <t>PaymentCategory</t>
  </si>
  <si>
    <t>Total_Payment</t>
  </si>
  <si>
    <t>Philip</t>
  </si>
  <si>
    <t>Internal Goods</t>
  </si>
  <si>
    <t>COD</t>
  </si>
  <si>
    <t>PAID</t>
  </si>
  <si>
    <t>High</t>
  </si>
  <si>
    <t>Rayshawn</t>
  </si>
  <si>
    <t>Wholesale</t>
  </si>
  <si>
    <t>CARD PAYMENT</t>
  </si>
  <si>
    <t>NOT PAID</t>
  </si>
  <si>
    <t>Boyd</t>
  </si>
  <si>
    <t>Retail</t>
  </si>
  <si>
    <t>Catherine</t>
  </si>
  <si>
    <t>Janelle</t>
  </si>
  <si>
    <t>Chasity</t>
  </si>
  <si>
    <t>Gordon</t>
  </si>
  <si>
    <t>Cecile</t>
  </si>
  <si>
    <t>Dennis</t>
  </si>
  <si>
    <t>Lita</t>
  </si>
  <si>
    <t>Korie</t>
  </si>
  <si>
    <t>Peyton</t>
  </si>
  <si>
    <t>Lola</t>
  </si>
  <si>
    <t>Dinah</t>
  </si>
  <si>
    <t>Eunice</t>
  </si>
  <si>
    <t>Frank</t>
  </si>
  <si>
    <t>Julie</t>
  </si>
  <si>
    <t>Darrel</t>
  </si>
  <si>
    <t>Annie</t>
  </si>
  <si>
    <t>Laurette</t>
  </si>
  <si>
    <t>Curtis</t>
  </si>
  <si>
    <t>Eriana</t>
  </si>
  <si>
    <t>Jonathan</t>
  </si>
  <si>
    <t>Paola</t>
  </si>
  <si>
    <t>Eddie</t>
  </si>
  <si>
    <t>Destiny</t>
  </si>
  <si>
    <t>Trey</t>
  </si>
  <si>
    <t>Otis</t>
  </si>
  <si>
    <t>Neri</t>
  </si>
  <si>
    <t>Matthew</t>
  </si>
  <si>
    <t>Joel</t>
  </si>
  <si>
    <t>Daren</t>
  </si>
  <si>
    <t>Marion</t>
  </si>
  <si>
    <t>Willie</t>
  </si>
  <si>
    <t>Bianca</t>
  </si>
  <si>
    <t>Reginald</t>
  </si>
  <si>
    <t>Franklin</t>
  </si>
  <si>
    <t>Adonis</t>
  </si>
  <si>
    <t>Jill</t>
  </si>
  <si>
    <t>Wilbur</t>
  </si>
  <si>
    <t>Kandace</t>
  </si>
  <si>
    <t>Isabela</t>
  </si>
  <si>
    <t>Jaimee</t>
  </si>
  <si>
    <t>Stanley</t>
  </si>
  <si>
    <t>Ronnie</t>
  </si>
  <si>
    <t>Joe</t>
  </si>
  <si>
    <t>Courtney</t>
  </si>
  <si>
    <t>Enrique</t>
  </si>
  <si>
    <t>Stacy</t>
  </si>
  <si>
    <t>Jennifer</t>
  </si>
  <si>
    <t>Douglas</t>
  </si>
  <si>
    <t>Dejon</t>
  </si>
  <si>
    <t>Naisha</t>
  </si>
  <si>
    <t>Jaylene</t>
  </si>
  <si>
    <t>Tiffany</t>
  </si>
  <si>
    <t>Carter</t>
  </si>
  <si>
    <t>Mickey</t>
  </si>
  <si>
    <t>Emma</t>
  </si>
  <si>
    <t>Rosalind</t>
  </si>
  <si>
    <t>Sheryl</t>
  </si>
  <si>
    <t>Stefania</t>
  </si>
  <si>
    <t>Roxanne</t>
  </si>
  <si>
    <t>Fabiola</t>
  </si>
  <si>
    <t>Max</t>
  </si>
  <si>
    <t>Gaylon</t>
  </si>
  <si>
    <t>Monte</t>
  </si>
  <si>
    <t>Chelsey</t>
  </si>
  <si>
    <t>Bambi</t>
  </si>
  <si>
    <t>Abby</t>
  </si>
  <si>
    <t>Johnny</t>
  </si>
  <si>
    <t>Claude</t>
  </si>
  <si>
    <t>Christa</t>
  </si>
  <si>
    <t>Bayley</t>
  </si>
  <si>
    <t>Demetrius</t>
  </si>
  <si>
    <t>Carlotta</t>
  </si>
  <si>
    <t>Theresa</t>
  </si>
  <si>
    <t>Steve</t>
  </si>
  <si>
    <t>Debora</t>
  </si>
  <si>
    <t>Italia</t>
  </si>
  <si>
    <t>Glory</t>
  </si>
  <si>
    <t>Taryn</t>
  </si>
  <si>
    <t>Sydney</t>
  </si>
  <si>
    <t>Magdalene</t>
  </si>
  <si>
    <t>Reymundo</t>
  </si>
  <si>
    <t>Diana</t>
  </si>
  <si>
    <t>Hellen</t>
  </si>
  <si>
    <t>Andre</t>
  </si>
  <si>
    <t>Julianna</t>
  </si>
  <si>
    <t>Marie</t>
  </si>
  <si>
    <t>Dianne</t>
  </si>
  <si>
    <t>Mitchell</t>
  </si>
  <si>
    <t>Patrick</t>
  </si>
  <si>
    <t>Sophie</t>
  </si>
  <si>
    <t>Larry</t>
  </si>
  <si>
    <t>Bryn</t>
  </si>
  <si>
    <t>Lydia</t>
  </si>
  <si>
    <t>Rory</t>
  </si>
  <si>
    <t>Tianna</t>
  </si>
  <si>
    <t>Shemar</t>
  </si>
  <si>
    <t>Brennan</t>
  </si>
  <si>
    <t>Lucien</t>
  </si>
  <si>
    <t>Amy</t>
  </si>
  <si>
    <t>Stacie</t>
  </si>
  <si>
    <t>Eileen</t>
  </si>
  <si>
    <t>Brady</t>
  </si>
  <si>
    <t>Morgan</t>
  </si>
  <si>
    <t>Muriel</t>
  </si>
  <si>
    <t>Kyleigh</t>
  </si>
  <si>
    <t>Holli</t>
  </si>
  <si>
    <t>George</t>
  </si>
  <si>
    <t>Caitlin</t>
  </si>
  <si>
    <t>Louise</t>
  </si>
  <si>
    <t>Clay</t>
  </si>
  <si>
    <t>Zoie</t>
  </si>
  <si>
    <t>Tammi</t>
  </si>
  <si>
    <t>Stephon</t>
  </si>
  <si>
    <t>Misael</t>
  </si>
  <si>
    <t>Todd</t>
  </si>
  <si>
    <t>Michaela</t>
  </si>
  <si>
    <t>Aidan</t>
  </si>
  <si>
    <t>Maurice</t>
  </si>
  <si>
    <t>Albert</t>
  </si>
  <si>
    <t>Frances</t>
  </si>
  <si>
    <t>Laverne</t>
  </si>
  <si>
    <t>Alonzo</t>
  </si>
  <si>
    <t>Isidro</t>
  </si>
  <si>
    <t>Kaitlyn</t>
  </si>
  <si>
    <t>Nigel</t>
  </si>
  <si>
    <t>Ray</t>
  </si>
  <si>
    <t>Pierre</t>
  </si>
  <si>
    <t>Amelia</t>
  </si>
  <si>
    <t>Danielle</t>
  </si>
  <si>
    <t>Gwendolyn</t>
  </si>
  <si>
    <t>Elvia</t>
  </si>
  <si>
    <t>Merna</t>
  </si>
  <si>
    <t>Juan</t>
  </si>
  <si>
    <t>Belle</t>
  </si>
  <si>
    <t>Sadie</t>
  </si>
  <si>
    <t>Tomeka</t>
  </si>
  <si>
    <t>Brenda</t>
  </si>
  <si>
    <t>Adrianna</t>
  </si>
  <si>
    <t>Elena</t>
  </si>
  <si>
    <t>Steven</t>
  </si>
  <si>
    <t>Rita</t>
  </si>
  <si>
    <t>Gabrielle</t>
  </si>
  <si>
    <t>Christy</t>
  </si>
  <si>
    <t>Velma</t>
  </si>
  <si>
    <t>Gene</t>
  </si>
  <si>
    <t>Grover</t>
  </si>
  <si>
    <t>Peter</t>
  </si>
  <si>
    <t>Genesis</t>
  </si>
  <si>
    <t>Ricky</t>
  </si>
  <si>
    <t>Miley</t>
  </si>
  <si>
    <t>Lazaro</t>
  </si>
  <si>
    <t>Jennie</t>
  </si>
  <si>
    <t>Bernadine</t>
  </si>
  <si>
    <t>Norma</t>
  </si>
  <si>
    <t>Rayburn</t>
  </si>
  <si>
    <t>Bruno</t>
  </si>
  <si>
    <t>Austin</t>
  </si>
  <si>
    <t>Medium</t>
  </si>
  <si>
    <t>Evan</t>
  </si>
  <si>
    <t>Mavis</t>
  </si>
  <si>
    <t>Zakariya</t>
  </si>
  <si>
    <t>Christina</t>
  </si>
  <si>
    <t>Sapphire</t>
  </si>
  <si>
    <t>Sonja</t>
  </si>
  <si>
    <t>Low</t>
  </si>
  <si>
    <t>Latasha</t>
  </si>
  <si>
    <t>Connie</t>
  </si>
  <si>
    <t>Joseph</t>
  </si>
  <si>
    <t>Dani</t>
  </si>
  <si>
    <t>Paige</t>
  </si>
  <si>
    <t>E_ID</t>
  </si>
  <si>
    <t>Employee_NAME</t>
  </si>
  <si>
    <t>Employee_Designation</t>
  </si>
  <si>
    <t>E_BRANCH</t>
  </si>
  <si>
    <t>Shipment_ID</t>
  </si>
  <si>
    <t>Harriette</t>
  </si>
  <si>
    <t>Market analyst</t>
  </si>
  <si>
    <t>TX</t>
  </si>
  <si>
    <t>Chief finance officer</t>
  </si>
  <si>
    <t>MA</t>
  </si>
  <si>
    <t>Geraldine</t>
  </si>
  <si>
    <t>Transport manager</t>
  </si>
  <si>
    <t>CT</t>
  </si>
  <si>
    <t>Warehouse manager</t>
  </si>
  <si>
    <t>UT</t>
  </si>
  <si>
    <t>Malie</t>
  </si>
  <si>
    <t>Branch manager</t>
  </si>
  <si>
    <t>OH</t>
  </si>
  <si>
    <t>Fred</t>
  </si>
  <si>
    <t>Project director</t>
  </si>
  <si>
    <t>MO</t>
  </si>
  <si>
    <t>HR manager</t>
  </si>
  <si>
    <t>SD</t>
  </si>
  <si>
    <t>Alaysha</t>
  </si>
  <si>
    <t>Material handling executive</t>
  </si>
  <si>
    <t>Kelli</t>
  </si>
  <si>
    <t>Non-executive director</t>
  </si>
  <si>
    <t>Ryker</t>
  </si>
  <si>
    <t>HI</t>
  </si>
  <si>
    <t>Johnnie</t>
  </si>
  <si>
    <t>In House logistics executive</t>
  </si>
  <si>
    <t>RI</t>
  </si>
  <si>
    <t>Zykeria</t>
  </si>
  <si>
    <t>Warehouse in charge</t>
  </si>
  <si>
    <t>VA</t>
  </si>
  <si>
    <t>Selma</t>
  </si>
  <si>
    <t>Head of marketing</t>
  </si>
  <si>
    <t>KY</t>
  </si>
  <si>
    <t>Kathryn</t>
  </si>
  <si>
    <t>Technical support executive</t>
  </si>
  <si>
    <t>AL</t>
  </si>
  <si>
    <t>Karl</t>
  </si>
  <si>
    <t>Freda</t>
  </si>
  <si>
    <t>IT support executive</t>
  </si>
  <si>
    <t>NH</t>
  </si>
  <si>
    <t>David</t>
  </si>
  <si>
    <t>Inventory manager</t>
  </si>
  <si>
    <t>Winnifred</t>
  </si>
  <si>
    <t>Bryce</t>
  </si>
  <si>
    <t>Manager</t>
  </si>
  <si>
    <t>CA</t>
  </si>
  <si>
    <t>Maeve</t>
  </si>
  <si>
    <t>Seth</t>
  </si>
  <si>
    <t>NJ</t>
  </si>
  <si>
    <t>Maria</t>
  </si>
  <si>
    <t>OK</t>
  </si>
  <si>
    <t>Taron</t>
  </si>
  <si>
    <t>Sales manager</t>
  </si>
  <si>
    <t>NC</t>
  </si>
  <si>
    <t>Block development manager</t>
  </si>
  <si>
    <t>NY</t>
  </si>
  <si>
    <t>Ramona</t>
  </si>
  <si>
    <t>Adrienne</t>
  </si>
  <si>
    <t>Assistant manager</t>
  </si>
  <si>
    <t>NM</t>
  </si>
  <si>
    <t>Dawn</t>
  </si>
  <si>
    <t>PA</t>
  </si>
  <si>
    <t>Yessenia</t>
  </si>
  <si>
    <t>Delivery Boy</t>
  </si>
  <si>
    <t>Ryan</t>
  </si>
  <si>
    <t>Jana</t>
  </si>
  <si>
    <t>Office manager</t>
  </si>
  <si>
    <t>OR</t>
  </si>
  <si>
    <t>Engineering department manager</t>
  </si>
  <si>
    <t>Tiffani</t>
  </si>
  <si>
    <t>CO</t>
  </si>
  <si>
    <t>Chief executive officer</t>
  </si>
  <si>
    <t>Earle</t>
  </si>
  <si>
    <t>Danita</t>
  </si>
  <si>
    <t>Raeleigh</t>
  </si>
  <si>
    <t>Guy</t>
  </si>
  <si>
    <t>TN</t>
  </si>
  <si>
    <t>Anastasia</t>
  </si>
  <si>
    <t>Benita</t>
  </si>
  <si>
    <t>Andrea</t>
  </si>
  <si>
    <t>Raul</t>
  </si>
  <si>
    <t>Raven</t>
  </si>
  <si>
    <t>Rebecca</t>
  </si>
  <si>
    <t>Anne</t>
  </si>
  <si>
    <t>IA</t>
  </si>
  <si>
    <t>Michael</t>
  </si>
  <si>
    <t>Heather</t>
  </si>
  <si>
    <t>MS</t>
  </si>
  <si>
    <t>Cheyenne</t>
  </si>
  <si>
    <t>Ely</t>
  </si>
  <si>
    <t>KS</t>
  </si>
  <si>
    <t>Irby</t>
  </si>
  <si>
    <t>AR</t>
  </si>
  <si>
    <t>Genevieve</t>
  </si>
  <si>
    <t>Fleet manager</t>
  </si>
  <si>
    <t>Elliana</t>
  </si>
  <si>
    <t>LA</t>
  </si>
  <si>
    <t>Katrice</t>
  </si>
  <si>
    <t>WV</t>
  </si>
  <si>
    <t>WA</t>
  </si>
  <si>
    <t>Kyle</t>
  </si>
  <si>
    <t>ME</t>
  </si>
  <si>
    <t>Marlene</t>
  </si>
  <si>
    <t>Baldemar</t>
  </si>
  <si>
    <t>Claudia</t>
  </si>
  <si>
    <t>Arya</t>
  </si>
  <si>
    <t>Rodney</t>
  </si>
  <si>
    <t>Marketing manager</t>
  </si>
  <si>
    <t>FL</t>
  </si>
  <si>
    <t>Stephanie</t>
  </si>
  <si>
    <t>Executive director</t>
  </si>
  <si>
    <t>IL</t>
  </si>
  <si>
    <t>Lawrence</t>
  </si>
  <si>
    <t>Felicity</t>
  </si>
  <si>
    <t>Kim</t>
  </si>
  <si>
    <t>SC</t>
  </si>
  <si>
    <t>Hudson</t>
  </si>
  <si>
    <t>Beth</t>
  </si>
  <si>
    <t>Devon</t>
  </si>
  <si>
    <t>Director</t>
  </si>
  <si>
    <t>John</t>
  </si>
  <si>
    <t>Jan</t>
  </si>
  <si>
    <t>Robert</t>
  </si>
  <si>
    <t>Stephan</t>
  </si>
  <si>
    <t>Monica</t>
  </si>
  <si>
    <t>Pamala</t>
  </si>
  <si>
    <t>AZ</t>
  </si>
  <si>
    <t>Matt</t>
  </si>
  <si>
    <t>Kristie</t>
  </si>
  <si>
    <t>Lee</t>
  </si>
  <si>
    <t>Roger</t>
  </si>
  <si>
    <t>Zoya</t>
  </si>
  <si>
    <t>ID</t>
  </si>
  <si>
    <t>Danny</t>
  </si>
  <si>
    <t>Zelda</t>
  </si>
  <si>
    <t>Jacquelin</t>
  </si>
  <si>
    <t>Ardis</t>
  </si>
  <si>
    <t>Scott</t>
  </si>
  <si>
    <t>Alexia</t>
  </si>
  <si>
    <t>Donnell</t>
  </si>
  <si>
    <t>Trent</t>
  </si>
  <si>
    <t>Gerald</t>
  </si>
  <si>
    <t>Artie</t>
  </si>
  <si>
    <t>GA</t>
  </si>
  <si>
    <t>Albertha</t>
  </si>
  <si>
    <t>Carolyn</t>
  </si>
  <si>
    <t>Ilana</t>
  </si>
  <si>
    <t>MI</t>
  </si>
  <si>
    <t>Bobby</t>
  </si>
  <si>
    <t>Laurence</t>
  </si>
  <si>
    <t>Trevon</t>
  </si>
  <si>
    <t>Jason</t>
  </si>
  <si>
    <t>IN</t>
  </si>
  <si>
    <t>Harvey</t>
  </si>
  <si>
    <t>DC</t>
  </si>
  <si>
    <t>Ericka</t>
  </si>
  <si>
    <t>Shirley</t>
  </si>
  <si>
    <t>Nevaeh</t>
  </si>
  <si>
    <t>Sharyn</t>
  </si>
  <si>
    <t>Leslie</t>
  </si>
  <si>
    <t>Alessia</t>
  </si>
  <si>
    <t>Bridgett</t>
  </si>
  <si>
    <t>Kelly</t>
  </si>
  <si>
    <t>Francis</t>
  </si>
  <si>
    <t>Stephania</t>
  </si>
  <si>
    <t>Zella</t>
  </si>
  <si>
    <t>Bernard</t>
  </si>
  <si>
    <t>MN</t>
  </si>
  <si>
    <t>Parth</t>
  </si>
  <si>
    <t>Arlene</t>
  </si>
  <si>
    <t>Kathleen</t>
  </si>
  <si>
    <t>Jalen</t>
  </si>
  <si>
    <t>Jensen</t>
  </si>
  <si>
    <t>MD</t>
  </si>
  <si>
    <t>Pamela</t>
  </si>
  <si>
    <t>Ora</t>
  </si>
  <si>
    <t>Crystal</t>
  </si>
  <si>
    <t>Frederick</t>
  </si>
  <si>
    <t>DE</t>
  </si>
  <si>
    <t>Makala</t>
  </si>
  <si>
    <t>Wayne</t>
  </si>
  <si>
    <t>Bart</t>
  </si>
  <si>
    <t>Leighann</t>
  </si>
  <si>
    <t>Edith</t>
  </si>
  <si>
    <t>Milburn</t>
  </si>
  <si>
    <t>MT</t>
  </si>
  <si>
    <t>Loren</t>
  </si>
  <si>
    <t>Coleman</t>
  </si>
  <si>
    <t>Cristina</t>
  </si>
  <si>
    <t>Annamaria</t>
  </si>
  <si>
    <t>Eldon</t>
  </si>
  <si>
    <t>Elise</t>
  </si>
  <si>
    <t>Twanna</t>
  </si>
  <si>
    <t>Gael</t>
  </si>
  <si>
    <t>Joao</t>
  </si>
  <si>
    <t>Valeria</t>
  </si>
  <si>
    <t>Yasmeen</t>
  </si>
  <si>
    <t>Cecilia</t>
  </si>
  <si>
    <t>Brent</t>
  </si>
  <si>
    <t>Gray</t>
  </si>
  <si>
    <t>VT</t>
  </si>
  <si>
    <t>Kenny</t>
  </si>
  <si>
    <t>Jasmine</t>
  </si>
  <si>
    <t>Alysha</t>
  </si>
  <si>
    <t>Rashawn</t>
  </si>
  <si>
    <t>WI</t>
  </si>
  <si>
    <t>Jaime</t>
  </si>
  <si>
    <t>Van</t>
  </si>
  <si>
    <t>Samual</t>
  </si>
  <si>
    <t>Valencia</t>
  </si>
  <si>
    <t>SH_ID</t>
  </si>
  <si>
    <t>Shipment_Content</t>
  </si>
  <si>
    <t>Shipment_Domain</t>
  </si>
  <si>
    <t>Service_Type</t>
  </si>
  <si>
    <t>Shipment_Weight</t>
  </si>
  <si>
    <t>Shipment_Charges</t>
  </si>
  <si>
    <t>SR_ADDR</t>
  </si>
  <si>
    <t>DS_ADDR</t>
  </si>
  <si>
    <t>Current_Status</t>
  </si>
  <si>
    <t>Sent_date</t>
  </si>
  <si>
    <t>Delivery_date</t>
  </si>
  <si>
    <t>ShipmentEfficiency</t>
  </si>
  <si>
    <t>Healthcare</t>
  </si>
  <si>
    <t>Domestic</t>
  </si>
  <si>
    <t>Regular</t>
  </si>
  <si>
    <t>1800 Block of 26TH ST</t>
  </si>
  <si>
    <t>1200 Block of JACKSON ST</t>
  </si>
  <si>
    <t>DELIVERED</t>
  </si>
  <si>
    <t>International</t>
  </si>
  <si>
    <t>Express</t>
  </si>
  <si>
    <t>2600 Block of ALEMANY BL</t>
  </si>
  <si>
    <t>700 Block of HAMPSHIRE ST</t>
  </si>
  <si>
    <t>Luggage</t>
  </si>
  <si>
    <t>BARTLETT ST / 23RD ST</t>
  </si>
  <si>
    <t>500 Block of HAIGHT ST</t>
  </si>
  <si>
    <t>NOT DELIVERED</t>
  </si>
  <si>
    <t>Home Furnishing</t>
  </si>
  <si>
    <t>1300 Block of 7TH AV</t>
  </si>
  <si>
    <t>300 Block of 9TH ST</t>
  </si>
  <si>
    <t>Electronics</t>
  </si>
  <si>
    <t>0 Block of EUREKA ST</t>
  </si>
  <si>
    <t>1800 Block of VANNESS AV</t>
  </si>
  <si>
    <t>Food and Beverages</t>
  </si>
  <si>
    <t>700 Block of VANNESS AV</t>
  </si>
  <si>
    <t>500 Block of LEAVENWORTH ST</t>
  </si>
  <si>
    <t>Fashion</t>
  </si>
  <si>
    <t>200 Block of BERRY ST</t>
  </si>
  <si>
    <t>CARROLL AV / JENNINGS ST</t>
  </si>
  <si>
    <t>Industrial Equipments</t>
  </si>
  <si>
    <t>1100 Block of FRANCISCO ST</t>
  </si>
  <si>
    <t>1000 Block of MARKET ST</t>
  </si>
  <si>
    <t>Hazardous Goods</t>
  </si>
  <si>
    <t>100 Block of NEWMONTGOMERY ST</t>
  </si>
  <si>
    <t>600 Block of SOUTH VAN NESS AV</t>
  </si>
  <si>
    <t>Automotive</t>
  </si>
  <si>
    <t>200 Block of SCOTT ST</t>
  </si>
  <si>
    <t>2600 Block of MISSION ST</t>
  </si>
  <si>
    <t>BELVEDERE ST / WALLER ST</t>
  </si>
  <si>
    <t>0 Block of CEDAR ST</t>
  </si>
  <si>
    <t>800 Block of BRYANT ST</t>
  </si>
  <si>
    <t>500 Block of FREDERICK ST</t>
  </si>
  <si>
    <t>1300 Block of CALIFORNIA ST</t>
  </si>
  <si>
    <t>0 Block of RAUSCH ST</t>
  </si>
  <si>
    <t>300 Block of CHENERY ST</t>
  </si>
  <si>
    <t>BUSH ST / BUCHANAN ST</t>
  </si>
  <si>
    <t>2600 Block of 18TH ST</t>
  </si>
  <si>
    <t>800 Block of 30TH AV</t>
  </si>
  <si>
    <t>1100 Block of MARKET ST</t>
  </si>
  <si>
    <t>Construction</t>
  </si>
  <si>
    <t>800 Block of GENEVA AV</t>
  </si>
  <si>
    <t>300 Block of 4TH ST</t>
  </si>
  <si>
    <t>100 Block of TOWNSEND ST</t>
  </si>
  <si>
    <t>15TH ST / SANCHEZ ST</t>
  </si>
  <si>
    <t>1700 Block of FULTON ST</t>
  </si>
  <si>
    <t>900 Block of ELLSWORTH ST</t>
  </si>
  <si>
    <t>400 Block of 28TH ST</t>
  </si>
  <si>
    <t>600 Block of FRANCISCO ST</t>
  </si>
  <si>
    <t>FELL ST / MASONIC AV</t>
  </si>
  <si>
    <t>900 Block of RANDOLPH ST</t>
  </si>
  <si>
    <t>Arts and crafts</t>
  </si>
  <si>
    <t>0 Block of 6TH ST</t>
  </si>
  <si>
    <t>ELLIS ST / LAGUNA ST</t>
  </si>
  <si>
    <t>0 Block of HYDE ST</t>
  </si>
  <si>
    <t>100 Block of STEUART ST</t>
  </si>
  <si>
    <t>900 Block of VALENCIA ST</t>
  </si>
  <si>
    <t>700 Block of FOLSOM ST</t>
  </si>
  <si>
    <t>300 Block of ARBALLO DR</t>
  </si>
  <si>
    <t>1600 Block of VANNESS AV</t>
  </si>
  <si>
    <t>100 Block of PHELAN AV</t>
  </si>
  <si>
    <t>800 Block of MARKET ST</t>
  </si>
  <si>
    <t>0 Block of GORDON ST</t>
  </si>
  <si>
    <t>600 Block of VALENCIA ST</t>
  </si>
  <si>
    <t>SHOTWELL ST / 17TH ST</t>
  </si>
  <si>
    <t>EDDY ST / HYDE ST</t>
  </si>
  <si>
    <t>1500 Block of BAKER ST</t>
  </si>
  <si>
    <t>LIPPARD AV / BOSWORTH ST</t>
  </si>
  <si>
    <t>100 Block of BERRY ST</t>
  </si>
  <si>
    <t>KERN ST / DIAMOND ST</t>
  </si>
  <si>
    <t>700 Block of HOWARD ST</t>
  </si>
  <si>
    <t>HARRISON ST / 3RD ST</t>
  </si>
  <si>
    <t>0 Block of LEE AV</t>
  </si>
  <si>
    <t>0 Block of FALLON PL</t>
  </si>
  <si>
    <t>STOCKTON ST / BROADWAY ST</t>
  </si>
  <si>
    <t>900 Block of GEARY ST</t>
  </si>
  <si>
    <t>LAKE MERCED BL / BROTHERHOOD WAY</t>
  </si>
  <si>
    <t>HARRISON ST / THE EMBARCADEROSOUTH ST</t>
  </si>
  <si>
    <t>GEARY ST / POLK ST</t>
  </si>
  <si>
    <t>1600 Block of LASALLE AV</t>
  </si>
  <si>
    <t>1400 Block of DOUGLASS ST</t>
  </si>
  <si>
    <t>48TH AV / JUDAH ST</t>
  </si>
  <si>
    <t>100 Block of FONT BL</t>
  </si>
  <si>
    <t>1000 Block of KEY AV</t>
  </si>
  <si>
    <t>HOLLOWAY AV / BRIGHTON AV</t>
  </si>
  <si>
    <t>TAYLOR ST / GOLDEN GATE AV</t>
  </si>
  <si>
    <t>1800 Block of KIRKHAM ST</t>
  </si>
  <si>
    <t>500 Block of TUNNEL AV</t>
  </si>
  <si>
    <t>1600 Block of TURK ST</t>
  </si>
  <si>
    <t>100 Block of SPEAR ST</t>
  </si>
  <si>
    <t>200 Block of CHENERY ST</t>
  </si>
  <si>
    <t>2900 Block of DIAMOND ST</t>
  </si>
  <si>
    <t>1000 Block of POTRERO AV</t>
  </si>
  <si>
    <t>400 Block of ROLPH ST</t>
  </si>
  <si>
    <t>100 Block of HYDE ST</t>
  </si>
  <si>
    <t>BANCROFT AV / KEITH ST</t>
  </si>
  <si>
    <t>1100 Block of HUDSON AV</t>
  </si>
  <si>
    <t>MYRTLE ST / LARKIN ST</t>
  </si>
  <si>
    <t>STOCKTON ST / POST ST</t>
  </si>
  <si>
    <t>500 Block of MAGELLAN AV</t>
  </si>
  <si>
    <t>LEAVENWORTH ST / TURK ST</t>
  </si>
  <si>
    <t>1600 Block of 38TH AV</t>
  </si>
  <si>
    <t>3300 Block of MISSION ST</t>
  </si>
  <si>
    <t>4200 Block of 26TH ST</t>
  </si>
  <si>
    <t>0 Block of TURK ST</t>
  </si>
  <si>
    <t>BLAKE ST / GEARY BL</t>
  </si>
  <si>
    <t>BROADWAY ST / COLUMBUS AV</t>
  </si>
  <si>
    <t>WASHINGTON ST / DRUMM ST</t>
  </si>
  <si>
    <t>1200 Block of PINE ST</t>
  </si>
  <si>
    <t>EXECUTIVEPARK BL / ALANA WY</t>
  </si>
  <si>
    <t>900 Block of MISSION ST</t>
  </si>
  <si>
    <t>0 Block of BROOKDALE AV</t>
  </si>
  <si>
    <t>1300 Block of EGBERT AV</t>
  </si>
  <si>
    <t>3600 Block of 22ND ST</t>
  </si>
  <si>
    <t>200 Block of NAGLEE AV</t>
  </si>
  <si>
    <t>700 Block of 3RD ST</t>
  </si>
  <si>
    <t>FRANCISCO ST / JONES ST</t>
  </si>
  <si>
    <t>1700 Block of 25TH ST</t>
  </si>
  <si>
    <t>1300 Block of BROADWAY ST</t>
  </si>
  <si>
    <t>1200 Block of POLK ST</t>
  </si>
  <si>
    <t>1200 Block of MARKET ST</t>
  </si>
  <si>
    <t>EARL ST / LASALLE AV</t>
  </si>
  <si>
    <t>1400 Block of KIRKWOOD CT</t>
  </si>
  <si>
    <t>CLARA ST / 4TH ST</t>
  </si>
  <si>
    <t>100 Block of ATOLL CR</t>
  </si>
  <si>
    <t>0 Block of STEINER ST</t>
  </si>
  <si>
    <t>1800 Block of 8TH AV</t>
  </si>
  <si>
    <t>JONES ST / GOLDEN GATE AV</t>
  </si>
  <si>
    <t>HARRISON ST / 11TH ST</t>
  </si>
  <si>
    <t>BROADWAY ST / KEARNY ST</t>
  </si>
  <si>
    <t>500 Block of HYDE ST</t>
  </si>
  <si>
    <t>400 Block of CAPP ST</t>
  </si>
  <si>
    <t>LARKIN ST / ELLIS ST</t>
  </si>
  <si>
    <t>2700 Block of DIAMOND ST</t>
  </si>
  <si>
    <t>6500 Block of 3RD ST</t>
  </si>
  <si>
    <t>800 Block of 33RD AV</t>
  </si>
  <si>
    <t>0 Block of WHITFIELD CT</t>
  </si>
  <si>
    <t>1500 Block of POWELL ST</t>
  </si>
  <si>
    <t>1100 Block of OCEAN AV</t>
  </si>
  <si>
    <t>900 Block of DEHARO ST</t>
  </si>
  <si>
    <t>BRYANT ST / 4TH ST</t>
  </si>
  <si>
    <t>1300 Block of MISSION ST</t>
  </si>
  <si>
    <t>900 Block of CONNECTICUT ST</t>
  </si>
  <si>
    <t>LEAVENWORTH ST / EDDY ST</t>
  </si>
  <si>
    <t>POLK ST / BEACH ST</t>
  </si>
  <si>
    <t>700 Block of LARKIN ST</t>
  </si>
  <si>
    <t>37TH AV / RIVERA ST</t>
  </si>
  <si>
    <t>1200 Block of 36TH AV</t>
  </si>
  <si>
    <t>FREMONT ST / HARRISON ST</t>
  </si>
  <si>
    <t>0 Block of CRESTLAKE DR</t>
  </si>
  <si>
    <t>400 Block of GENEVA AV</t>
  </si>
  <si>
    <t>POWELL ST / OFARRELL ST</t>
  </si>
  <si>
    <t>20TH ST / KANSAS ST</t>
  </si>
  <si>
    <t>JEFFERSON ST / TAYLOR ST</t>
  </si>
  <si>
    <t>4000 Block of 18TH ST</t>
  </si>
  <si>
    <t>500 Block of ELLIS ST</t>
  </si>
  <si>
    <t>1400 Block of 14TH AV</t>
  </si>
  <si>
    <t>1800 Block of DIVISADERO ST</t>
  </si>
  <si>
    <t>200 Block of 2ND ST</t>
  </si>
  <si>
    <t>0 Block of THRIFT ST</t>
  </si>
  <si>
    <t>2900 Block of TURK ST</t>
  </si>
  <si>
    <t>300 Block of DEMONTFORT AV</t>
  </si>
  <si>
    <t>0 Block of 7TH ST</t>
  </si>
  <si>
    <t>300 Block of 10TH ST</t>
  </si>
  <si>
    <t>0 Block of CUMBERLAND ST</t>
  </si>
  <si>
    <t>200 Block of POPLAR ST</t>
  </si>
  <si>
    <t>1100 Block of POLK ST</t>
  </si>
  <si>
    <t>800 Block of OFARRELL ST</t>
  </si>
  <si>
    <t>16TH ST / UTAH ST</t>
  </si>
  <si>
    <t>400 Block of CASTRO ST</t>
  </si>
  <si>
    <t>100 Block of GOLDEN GATE AV</t>
  </si>
  <si>
    <t>800 Block of MISSION ST</t>
  </si>
  <si>
    <t>1500 Block of POLK ST</t>
  </si>
  <si>
    <t>600 Block of KANSAS ST</t>
  </si>
  <si>
    <t>POLK ST / SUTTER ST</t>
  </si>
  <si>
    <t>1200 Block of NOE ST</t>
  </si>
  <si>
    <t>100 Block of BREWSTER ST</t>
  </si>
  <si>
    <t>900 Block of MARKET ST</t>
  </si>
  <si>
    <t>900 Block of CAPITOL AV</t>
  </si>
  <si>
    <t>1700 Block of SUNNYDALE AV</t>
  </si>
  <si>
    <t>400 Block of BAKER ST</t>
  </si>
  <si>
    <t>SOUTH VAN NESS AV / 13TH ST</t>
  </si>
  <si>
    <t>100 Block of LELAND AV</t>
  </si>
  <si>
    <t>22ND ST / CAROLINA ST</t>
  </si>
  <si>
    <t>2600 Block of FOLSOM ST</t>
  </si>
  <si>
    <t>POWELL ST / GEARY ST</t>
  </si>
  <si>
    <t>3RD ST / PALOU AV</t>
  </si>
  <si>
    <t>2500 Block of MISSION ST</t>
  </si>
  <si>
    <t>2600 Block of 34TH AV</t>
  </si>
  <si>
    <t>500 Block of 9TH ST</t>
  </si>
  <si>
    <t>300 Block of OFARRELL ST</t>
  </si>
  <si>
    <t>0 Block of RAE AV</t>
  </si>
  <si>
    <t>DIVISADERO ST / JACKSON ST</t>
  </si>
  <si>
    <t>0 Block of DESOTO ST</t>
  </si>
  <si>
    <t>SILLIMAN ST / BOWDOIN ST</t>
  </si>
  <si>
    <t>200 Block of LEAVENWORTH ST</t>
  </si>
  <si>
    <t>2300 Block of CHESTNUT ST</t>
  </si>
  <si>
    <t>LAKE MERCED BL / SUNSET BL</t>
  </si>
  <si>
    <t>500 Block of VALENCIA ST</t>
  </si>
  <si>
    <t>6TH ST / STEVENSON ST</t>
  </si>
  <si>
    <t>800 Block of 47TH AV</t>
  </si>
  <si>
    <t>0 Block of LURLINE ST</t>
  </si>
  <si>
    <t>KEITH ST / THOMAS AV</t>
  </si>
  <si>
    <t>100 Block of CAPP ST</t>
  </si>
  <si>
    <t>LYON ST / OFARRELL ST</t>
  </si>
  <si>
    <t>0 Block of HARRISON ST</t>
  </si>
  <si>
    <t>1200 Block of GOLDEN GATE AV</t>
  </si>
  <si>
    <t>1400 Block of RANKIN ST</t>
  </si>
  <si>
    <t>1800 Block of DONNER AV</t>
  </si>
  <si>
    <t>19TH AV / LINCOLN WY</t>
  </si>
  <si>
    <t>800 Block of INGERSON AV</t>
  </si>
  <si>
    <t>MISSION ST / 2ND ST</t>
  </si>
  <si>
    <t>1300 Block of REVERE AV</t>
  </si>
  <si>
    <t>0 Block of WILLIAR AV</t>
  </si>
  <si>
    <t>0 Block of DORE ST</t>
  </si>
  <si>
    <t>100 Block of TURK ST</t>
  </si>
  <si>
    <t>1200 Block of THE EMBARCADERONORTH ST</t>
  </si>
  <si>
    <t>500 Block of BRANNAN ST</t>
  </si>
  <si>
    <t>PIERCE ST / LOMBARD ST</t>
  </si>
  <si>
    <t>8TH AV / CLEMENT ST</t>
  </si>
  <si>
    <t>1700 Block of NEWCOMB AV</t>
  </si>
  <si>
    <t>1500 Block of LASALLE AV</t>
  </si>
  <si>
    <t>2300 Block of 25TH AV</t>
  </si>
  <si>
    <t>HOLLYPARK CR / MURRAY ST</t>
  </si>
  <si>
    <t>2000 Block of MISSION ST</t>
  </si>
  <si>
    <t>2400 Block of SAN BRUNO AV</t>
  </si>
  <si>
    <t>1100 Block of CONNECTICUT ST</t>
  </si>
  <si>
    <t>1700 Block of 22ND AV</t>
  </si>
  <si>
    <t>0 Block of LEAVENWORTH ST</t>
  </si>
  <si>
    <t>500 Block of 41ST AV</t>
  </si>
  <si>
    <t>500 Block of GUERRERO ST</t>
  </si>
  <si>
    <t>700 Block of MARKET ST</t>
  </si>
  <si>
    <t>ELLIS ST / HYDE ST</t>
  </si>
  <si>
    <t>0 Block of CASTLEMANOR AV</t>
  </si>
  <si>
    <t>LANE ST / REVERE AV</t>
  </si>
  <si>
    <t>GEARY ST / HYDE ST</t>
  </si>
  <si>
    <t>500 Block of 39TH AV</t>
  </si>
  <si>
    <t>700 Block of STANYAN ST</t>
  </si>
  <si>
    <t>600 Block of MISSION ST</t>
  </si>
  <si>
    <t>300 Block of ATHENS ST</t>
  </si>
  <si>
    <t>1400 Block of CLAY ST</t>
  </si>
  <si>
    <t>5600 Block of DIAMONDHEIGHTS BL</t>
  </si>
  <si>
    <t>100 Block of ELLIOT ST</t>
  </si>
  <si>
    <t>4600 Block of IRVING ST</t>
  </si>
  <si>
    <t>200 Block of TURK ST</t>
  </si>
  <si>
    <t>0 Block of ANKENY ST</t>
  </si>
  <si>
    <t>NATOMA ST / 2ND ST</t>
  </si>
  <si>
    <t>3500 Block of MISSION ST</t>
  </si>
  <si>
    <t>1600 Block of DONNER AV</t>
  </si>
  <si>
    <t>800 Block of LARKIN ST</t>
  </si>
  <si>
    <t>400 Block of ELLIS ST</t>
  </si>
  <si>
    <t>800 Block of MOSCOW ST</t>
  </si>
  <si>
    <t>100 Block of LEAVENWORTH ST</t>
  </si>
  <si>
    <t>100 Block of PERSIA AV</t>
  </si>
  <si>
    <t>100 Block of POWELL ST</t>
  </si>
  <si>
    <t>0 Block of TAYLOR ST</t>
  </si>
  <si>
    <t>1600 Block of 39TH AV</t>
  </si>
  <si>
    <t>PARNASSUS AV / CLAYTON ST</t>
  </si>
  <si>
    <t>MARKET ST / CHURCH ST</t>
  </si>
  <si>
    <t>LOMBARD ST / LEAVENWORTH ST</t>
  </si>
  <si>
    <t>100 Block of UPPER TR</t>
  </si>
  <si>
    <t>POST ST / HYDE ST</t>
  </si>
  <si>
    <t>300 Block of SALINAS AV</t>
  </si>
  <si>
    <t>1900 Block of FILLMORE ST</t>
  </si>
  <si>
    <t>0 Block of GOLDEN GATE AV</t>
  </si>
  <si>
    <t>900 Block of MARIPOSA ST</t>
  </si>
  <si>
    <t>MINNA ST / 5TH ST</t>
  </si>
  <si>
    <t>MARKET ST / 5TH ST</t>
  </si>
  <si>
    <t>200 Block of MISSOURI ST</t>
  </si>
  <si>
    <t>100 Block of EDDY ST</t>
  </si>
  <si>
    <t>0 Block of UNITEDNATIONS PZ</t>
  </si>
  <si>
    <t>200 Block of HAHN ST</t>
  </si>
  <si>
    <t>300 Block of BUCHANAN ST</t>
  </si>
  <si>
    <t>2800 Block of BRYANT ST</t>
  </si>
  <si>
    <t>4000 Block of GEARY BL</t>
  </si>
  <si>
    <t>3100 Block of 23RD ST</t>
  </si>
  <si>
    <t>GEARY ST / POWELL ST</t>
  </si>
  <si>
    <t>CAPP ST / 17TH ST</t>
  </si>
  <si>
    <t>ALEMANY BL / ELLSWORTH ST</t>
  </si>
  <si>
    <t>4TH ST / HARRISON ST</t>
  </si>
  <si>
    <t>600 Block of CLAY ST</t>
  </si>
  <si>
    <t>700 Block of BATTERY ST</t>
  </si>
  <si>
    <t>0 Block of MARINA BL</t>
  </si>
  <si>
    <t>5TH ST / MARKET ST</t>
  </si>
  <si>
    <t>MONTGOMERY ST / VALLEJO ST</t>
  </si>
  <si>
    <t>2400 Block of MISSION ST</t>
  </si>
  <si>
    <t>BEACH ST / TAYLOR ST</t>
  </si>
  <si>
    <t>TARAVAL ST / 17TH AV</t>
  </si>
  <si>
    <t>EDDY ST / MASON ST</t>
  </si>
  <si>
    <t>19TH ST / SHOTWELL ST</t>
  </si>
  <si>
    <t>7TH ST / STEVENSON ST</t>
  </si>
  <si>
    <t>2300 Block of 14TH AV</t>
  </si>
  <si>
    <t>0 Block of 12TH ST</t>
  </si>
  <si>
    <t>2100 Block of MISSION ST</t>
  </si>
  <si>
    <t>1100 Block of FOLSOM ST</t>
  </si>
  <si>
    <t>1400 Block of VANDYKE AV</t>
  </si>
  <si>
    <t>EDDY ST / VANNESS AV</t>
  </si>
  <si>
    <t>300 Block of COLLINGWOOD ST</t>
  </si>
  <si>
    <t>17TH ST / SHOTWELL ST</t>
  </si>
  <si>
    <t>21ST ST / POTRERO AV</t>
  </si>
  <si>
    <t>200 Block of 11TH AV</t>
  </si>
  <si>
    <t>400 Block of TURK ST</t>
  </si>
  <si>
    <t>17TH ST / FOLSOM ST</t>
  </si>
  <si>
    <t>400 Block of BRIGHT ST</t>
  </si>
  <si>
    <t>KEITH ST / SHAFTER AV</t>
  </si>
  <si>
    <t>0 Block of SPOFFORD LN</t>
  </si>
  <si>
    <t>900 Block of LARKIN ST</t>
  </si>
  <si>
    <t>900 Block of STOCKTON ST</t>
  </si>
  <si>
    <t>MADRID ST / RUSSIA AV</t>
  </si>
  <si>
    <t>0 Block of OFARRELL ST</t>
  </si>
  <si>
    <t>0 Block of PAYSON ST</t>
  </si>
  <si>
    <t>0 Block of POWELL ST</t>
  </si>
  <si>
    <t>500 Block of STEVENSON ST</t>
  </si>
  <si>
    <t>HYDE ST / TURK ST</t>
  </si>
  <si>
    <t>CALIFORNIA ST / DAVIS ST</t>
  </si>
  <si>
    <t>0 Block of STOCKTON ST</t>
  </si>
  <si>
    <t>400 Block of LEAVENWORTH ST</t>
  </si>
  <si>
    <t>NEWCOMB AV / 3RD ST</t>
  </si>
  <si>
    <t>1000 Block of COLUMBUS AV</t>
  </si>
  <si>
    <t>1400 Block of PHELPS ST</t>
  </si>
  <si>
    <t>3800 Block of 24TH ST</t>
  </si>
  <si>
    <t>5TH ST / MISSION ST</t>
  </si>
  <si>
    <t>1500 Block of HAIGHT ST</t>
  </si>
  <si>
    <t>3600 Block of SACRAMENTO ST</t>
  </si>
  <si>
    <t>SCOTT ST / CHESTNUT ST</t>
  </si>
  <si>
    <t>300 Block of HAIGHT ST</t>
  </si>
  <si>
    <t>3300 Block of BALBOA ST</t>
  </si>
  <si>
    <t>300 Block of ELLIS ST</t>
  </si>
  <si>
    <t>200 Block of KING ST</t>
  </si>
  <si>
    <t>0 Block of FUENTE AV</t>
  </si>
  <si>
    <t>LASALLE AV / PHELPS ST</t>
  </si>
  <si>
    <t>3300 Block of 22ND ST</t>
  </si>
  <si>
    <t>CALIFORNIA ST / POLK ST</t>
  </si>
  <si>
    <t>16TH ST / MISSOURI ST</t>
  </si>
  <si>
    <t>200 Block of HARKNESS AV</t>
  </si>
  <si>
    <t>WINSTON DR / 19TH AV</t>
  </si>
  <si>
    <t>300 Block of BEALE ST</t>
  </si>
  <si>
    <t>2100 Block of 16TH AV</t>
  </si>
  <si>
    <t>1900 Block of WASHINGTON ST</t>
  </si>
  <si>
    <t>CALIFORNIA ST / FILLMORE ST</t>
  </si>
  <si>
    <t>MARTIN LUTHER KING JR DR / 9TH AV</t>
  </si>
  <si>
    <t>3RD AV / BALBOA ST</t>
  </si>
  <si>
    <t>400 Block of LAKESHORE DR</t>
  </si>
  <si>
    <t>3800 Block of MISSION ST</t>
  </si>
  <si>
    <t>100 Block of PAGE ST</t>
  </si>
  <si>
    <t>500 Block of JOHNFKENNEDY DR</t>
  </si>
  <si>
    <t>VALLEJO ST / KEARNY ST</t>
  </si>
  <si>
    <t>1500 Block of SLOAT BL</t>
  </si>
  <si>
    <t>GOLDEN GATE AV / LEAVENWORTH ST</t>
  </si>
  <si>
    <t>500 Block of HOWARD ST</t>
  </si>
  <si>
    <t>500 Block of JACKSON ST</t>
  </si>
  <si>
    <t>0 Block of MYRTLE ST</t>
  </si>
  <si>
    <t>2ND ST / TOWNSEND ST</t>
  </si>
  <si>
    <t>900 Block of THE EMBARCADERO NORTH ST</t>
  </si>
  <si>
    <t>2500 Block of OCTAVIA ST</t>
  </si>
  <si>
    <t>600 Block of GOETTINGEN ST</t>
  </si>
  <si>
    <t>100 Block of 6TH ST</t>
  </si>
  <si>
    <t>1000 Block of SUTTER ST</t>
  </si>
  <si>
    <t>800 Block of 3RD ST</t>
  </si>
  <si>
    <t>100 Block of MONTGOMERY ST</t>
  </si>
  <si>
    <t>600 Block of PRENTISS ST</t>
  </si>
  <si>
    <t>BARTLETT ST / 21ST ST</t>
  </si>
  <si>
    <t>FELL ST / POLK ST</t>
  </si>
  <si>
    <t>700 Block of SWEENY ST</t>
  </si>
  <si>
    <t>0 Block of CAMERON WY</t>
  </si>
  <si>
    <t>200 Block of DORE ST</t>
  </si>
  <si>
    <t>FILLMORE ST / OFARRELL ST</t>
  </si>
  <si>
    <t>HAWTHORNE ST / HARRISON ST</t>
  </si>
  <si>
    <t>SUTTER ST / LAGUNA ST</t>
  </si>
  <si>
    <t>SOUTH VAN NESS AV / 22ND ST</t>
  </si>
  <si>
    <t>Delivery_days</t>
  </si>
  <si>
    <t>Grand Total</t>
  </si>
  <si>
    <t>Total_revenue</t>
  </si>
  <si>
    <t>### KPIs</t>
  </si>
  <si>
    <t>Total Revenue</t>
  </si>
  <si>
    <t>Total Customers</t>
  </si>
  <si>
    <t xml:space="preserve">Total Shipment </t>
  </si>
  <si>
    <t xml:space="preserve">Average Payment </t>
  </si>
  <si>
    <t xml:space="preserve">Average Shipment Charge </t>
  </si>
  <si>
    <t>Avg_Shipment Efficency</t>
  </si>
  <si>
    <t>Delivered Shipment</t>
  </si>
  <si>
    <t>Avg Shipment Weight</t>
  </si>
  <si>
    <t>### SLICERS</t>
  </si>
  <si>
    <t>Row Labels</t>
  </si>
  <si>
    <t>Count of SH_ID</t>
  </si>
  <si>
    <t>1) Customer Table</t>
  </si>
  <si>
    <t>2) Shipment Table</t>
  </si>
  <si>
    <t>3) Employees Table</t>
  </si>
  <si>
    <t>Count of E_ID</t>
  </si>
  <si>
    <t># Revnue By Payment mode</t>
  </si>
  <si>
    <t>Sum of Total_Payment</t>
  </si>
  <si>
    <t>Payment Mode</t>
  </si>
  <si>
    <t>Total_Revenue</t>
  </si>
  <si>
    <t>Count of C_ID</t>
  </si>
  <si>
    <t>Payment Category</t>
  </si>
  <si>
    <t>Monthly Trend</t>
  </si>
  <si>
    <t>Delivery Status</t>
  </si>
  <si>
    <t>Customers</t>
  </si>
  <si>
    <t>Shipment Domain</t>
  </si>
  <si>
    <t>Highest paying customer</t>
  </si>
  <si>
    <t>Customer Type</t>
  </si>
  <si>
    <t>Delivery_Status</t>
  </si>
  <si>
    <t>Delayed</t>
  </si>
  <si>
    <t>Fast</t>
  </si>
  <si>
    <t>Invalid</t>
  </si>
  <si>
    <t>Normal</t>
  </si>
  <si>
    <t>Delivary Status</t>
  </si>
  <si>
    <t>Average_sent_month</t>
  </si>
  <si>
    <t>January</t>
  </si>
  <si>
    <t>February</t>
  </si>
  <si>
    <t>March</t>
  </si>
  <si>
    <t>April</t>
  </si>
  <si>
    <t>May</t>
  </si>
  <si>
    <t>June</t>
  </si>
  <si>
    <t>July</t>
  </si>
  <si>
    <t>August</t>
  </si>
  <si>
    <t>September</t>
  </si>
  <si>
    <t>October</t>
  </si>
  <si>
    <t>November</t>
  </si>
  <si>
    <t>December</t>
  </si>
  <si>
    <t>Average of Delivery_days</t>
  </si>
  <si>
    <t>Employee Name</t>
  </si>
  <si>
    <t>Total Shipments Handled</t>
  </si>
  <si>
    <t>Branch Code</t>
  </si>
  <si>
    <t>No. Of Employees</t>
  </si>
  <si>
    <t>Employee Designation</t>
  </si>
  <si>
    <t>Average of Shipment_Weight</t>
  </si>
  <si>
    <t>Shipment Content</t>
  </si>
  <si>
    <t>Average of Shipment_Charges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</si>
</sst>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quot;K&quot;"/>
    <numFmt numFmtId="165" formatCode="0.00,,&quot;M&quot;"/>
    <numFmt numFmtId="166" formatCode="0.000"/>
  </numFmts>
  <fonts count="3" x14ac:knownFonts="1">
    <font>
      <sz val="11"/>
      <color theme="1"/>
      <name val="Calibri"/>
      <family val="2"/>
      <scheme val="minor"/>
    </font>
    <font>
      <sz val="8"/>
      <name val="Calibri"/>
      <family val="2"/>
      <scheme val="minor"/>
    </font>
    <font>
      <b/>
      <sz val="11"/>
      <color theme="0"/>
      <name val="Calibri"/>
      <family val="2"/>
      <scheme val="minor"/>
    </font>
  </fonts>
  <fills count="5">
    <fill>
      <patternFill patternType="none"/>
    </fill>
    <fill>
      <patternFill patternType="gray125"/>
    </fill>
    <fill>
      <patternFill patternType="solid">
        <fgColor theme="6" tint="0.59999389629810485"/>
        <bgColor theme="6" tint="0.59999389629810485"/>
      </patternFill>
    </fill>
    <fill>
      <patternFill patternType="solid">
        <fgColor theme="6" tint="0.79998168889431442"/>
        <bgColor theme="6" tint="0.79998168889431442"/>
      </patternFill>
    </fill>
    <fill>
      <patternFill patternType="solid">
        <fgColor theme="6"/>
        <bgColor theme="6"/>
      </patternFill>
    </fill>
  </fills>
  <borders count="4">
    <border>
      <left/>
      <right/>
      <top/>
      <bottom/>
      <diagonal/>
    </border>
    <border>
      <left style="thin">
        <color theme="0"/>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bottom style="thick">
        <color theme="0"/>
      </bottom>
      <diagonal/>
    </border>
  </borders>
  <cellStyleXfs count="1">
    <xf numFmtId="0" fontId="0" fillId="0" borderId="0"/>
  </cellStyleXfs>
  <cellXfs count="13">
    <xf numFmtId="0" fontId="0" fillId="0" borderId="0" xfId="0"/>
    <xf numFmtId="14" fontId="0" fillId="0" borderId="0" xfId="0" applyNumberFormat="1"/>
    <xf numFmtId="0" fontId="0" fillId="2" borderId="1" xfId="0" applyFill="1" applyBorder="1"/>
    <xf numFmtId="0" fontId="0" fillId="3" borderId="1" xfId="0" applyFill="1" applyBorder="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0" fontId="0" fillId="3" borderId="2" xfId="0" applyFill="1" applyBorder="1"/>
    <xf numFmtId="0" fontId="0" fillId="2" borderId="2" xfId="0" applyFill="1" applyBorder="1"/>
    <xf numFmtId="0" fontId="2" fillId="4" borderId="3" xfId="0" applyFont="1" applyFill="1" applyBorder="1"/>
    <xf numFmtId="2" fontId="0" fillId="0" borderId="0" xfId="0" applyNumberFormat="1"/>
  </cellXfs>
  <cellStyles count="1">
    <cellStyle name="Normal" xfId="0" builtinId="0"/>
  </cellStyles>
  <dxfs count="36">
    <dxf>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numFmt numFmtId="165" formatCode="0.00,,&quot;M&quot;"/>
    </dxf>
    <dxf>
      <numFmt numFmtId="165" formatCode="0.00,,&quot;M&quot;"/>
    </dxf>
    <dxf>
      <numFmt numFmtId="165" formatCode="0.00,,&quot;M&quot;"/>
    </dxf>
    <dxf>
      <numFmt numFmtId="2" formatCode="0.00"/>
    </dxf>
    <dxf>
      <numFmt numFmtId="2" formatCode="0.00"/>
    </dxf>
    <dxf>
      <numFmt numFmtId="2" formatCode="0.00"/>
    </dxf>
    <dxf>
      <numFmt numFmtId="165" formatCode="0.00,,&quot;M&quot;"/>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1"/>
        <color theme="1"/>
        <name val="Calibri"/>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40A8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microsoft.com/office/2007/relationships/slicerCache" Target="slicerCaches/slicerCache4.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3.xml"/><Relationship Id="rId25" Type="http://schemas.microsoft.com/office/2017/10/relationships/person" Target="persons/person.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tyles" Target="styles.xml"/><Relationship Id="rId10" Type="http://schemas.openxmlformats.org/officeDocument/2006/relationships/pivotCacheDefinition" Target="pivotCache/pivotCacheDefinition2.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connections" Target="connection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5.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7.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8.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9.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0.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1.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2.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[Cleaned_ElectroniTech_Manufacturing_Co._Dataset.xlsx]Workbook!Revenue by Customer Type</c:name>
    <c:fmtId val="0"/>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Workbook!$C$34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BF8-4957-9815-21AF1A81543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BF8-4957-9815-21AF1A81543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BF8-4957-9815-21AF1A8154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Workbook!$B$35:$B$38</c:f>
              <c:strCache>
                <c:ptCount val="3"/>
                <c:pt idx="0">
                  <c:v>Retail</c:v>
                </c:pt>
                <c:pt idx="1">
                  <c:v>Internal Goods</c:v>
                </c:pt>
                <c:pt idx="2">
                  <c:v>Wholesale</c:v>
                </c:pt>
              </c:strCache>
            </c:strRef>
          </c:cat>
          <c:val>
            <c:numRef>
              <c:f>Workbook!$C$35:$C$38</c:f>
              <c:numCache>
                <c:formatCode>0.00,,"M"</c:formatCode>
                <c:ptCount val="3"/>
                <c:pt idx="0">
                  <c:v>3704901</c:v>
                </c:pt>
                <c:pt idx="1">
                  <c:v>3420288</c:v>
                </c:pt>
                <c:pt idx="2">
                  <c:v>2363920</c:v>
                </c:pt>
              </c:numCache>
            </c:numRef>
          </c:val>
          <c:extLst>
            <c:ext xmlns:c16="http://schemas.microsoft.com/office/drawing/2014/chart" uri="{C3380CC4-5D6E-409C-BE32-E72D297353CC}">
              <c16:uniqueId val="{00000000-DE58-4B46-A259-1B399BD38866}"/>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[Cleaned_ElectroniTech_Manufacturing_Co._Dataset.xlsx]Workbook!Revenue by Payment mode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Payment 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Workbook!$C$90</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Workbook!$B$91:$B$93</c:f>
              <c:strCache>
                <c:ptCount val="2"/>
                <c:pt idx="0">
                  <c:v>CARD PAYMENT</c:v>
                </c:pt>
                <c:pt idx="1">
                  <c:v>COD</c:v>
                </c:pt>
              </c:strCache>
            </c:strRef>
          </c:cat>
          <c:val>
            <c:numRef>
              <c:f>Workbook!$C$91:$C$93</c:f>
              <c:numCache>
                <c:formatCode>0.00,,"M"</c:formatCode>
                <c:ptCount val="2"/>
                <c:pt idx="0">
                  <c:v>4233750</c:v>
                </c:pt>
                <c:pt idx="1">
                  <c:v>5255359</c:v>
                </c:pt>
              </c:numCache>
            </c:numRef>
          </c:val>
          <c:extLst>
            <c:ext xmlns:c16="http://schemas.microsoft.com/office/drawing/2014/chart" uri="{C3380CC4-5D6E-409C-BE32-E72D297353CC}">
              <c16:uniqueId val="{00000000-92ED-4231-BFF0-DAE6E624D21D}"/>
            </c:ext>
          </c:extLst>
        </c:ser>
        <c:dLbls>
          <c:showLegendKey val="0"/>
          <c:showVal val="1"/>
          <c:showCatName val="0"/>
          <c:showSerName val="0"/>
          <c:showPercent val="0"/>
          <c:showBubbleSize val="0"/>
        </c:dLbls>
        <c:gapWidth val="150"/>
        <c:shape val="box"/>
        <c:axId val="1341741616"/>
        <c:axId val="1341742096"/>
        <c:axId val="1481885088"/>
      </c:bar3DChart>
      <c:catAx>
        <c:axId val="134174161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742096"/>
        <c:crosses val="autoZero"/>
        <c:auto val="1"/>
        <c:lblAlgn val="ctr"/>
        <c:lblOffset val="100"/>
        <c:noMultiLvlLbl val="0"/>
      </c:catAx>
      <c:valAx>
        <c:axId val="1341742096"/>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741616"/>
        <c:crosses val="autoZero"/>
        <c:crossBetween val="between"/>
      </c:valAx>
      <c:serAx>
        <c:axId val="1481885088"/>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742096"/>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[Cleaned_ElectroniTech_Manufacturing_Co._Dataset.xlsx]Workbook!Payment Caterory by diatribution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Payment Category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Workbook!$C$102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91-42C2-BF77-C352D0D735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91-42C2-BF77-C352D0D7350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191-42C2-BF77-C352D0D735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Workbook!$B$103:$B$106</c:f>
              <c:strCache>
                <c:ptCount val="3"/>
                <c:pt idx="0">
                  <c:v>High</c:v>
                </c:pt>
                <c:pt idx="1">
                  <c:v>Medium</c:v>
                </c:pt>
                <c:pt idx="2">
                  <c:v>Low</c:v>
                </c:pt>
              </c:strCache>
            </c:strRef>
          </c:cat>
          <c:val>
            <c:numRef>
              <c:f>Workbook!$C$103:$C$106</c:f>
              <c:numCache>
                <c:formatCode>General</c:formatCode>
                <c:ptCount val="3"/>
                <c:pt idx="0">
                  <c:v>182</c:v>
                </c:pt>
                <c:pt idx="1">
                  <c:v>10</c:v>
                </c:pt>
                <c:pt idx="2">
                  <c:v>8</c:v>
                </c:pt>
              </c:numCache>
            </c:numRef>
          </c:val>
          <c:extLst>
            <c:ext xmlns:c16="http://schemas.microsoft.com/office/drawing/2014/chart" uri="{C3380CC4-5D6E-409C-BE32-E72D297353CC}">
              <c16:uniqueId val="{00000000-0785-473A-B686-93F4B0277D2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[Cleaned_ElectroniTech_Manufacturing_Co._Dataset.xlsx]Workbook!Monthly Revenue Trend</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Monthly Revenue Trend</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Workbook!$C$115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ln>
              <a:effectLst/>
            </c:spPr>
            <c:trendlineType val="linear"/>
            <c:dispRSqr val="0"/>
            <c:dispEq val="0"/>
          </c:trendline>
          <c:cat>
            <c:strRef>
              <c:f>Workbook!$B$116:$B$127</c:f>
              <c:strCache>
                <c:ptCount val="11"/>
                <c:pt idx="0">
                  <c:v>1</c:v>
                </c:pt>
                <c:pt idx="1">
                  <c:v>3</c:v>
                </c:pt>
                <c:pt idx="2">
                  <c:v>4</c:v>
                </c:pt>
                <c:pt idx="3">
                  <c:v>5</c:v>
                </c:pt>
                <c:pt idx="4">
                  <c:v>6</c:v>
                </c:pt>
                <c:pt idx="5">
                  <c:v>7</c:v>
                </c:pt>
                <c:pt idx="6">
                  <c:v>8</c:v>
                </c:pt>
                <c:pt idx="7">
                  <c:v>9</c:v>
                </c:pt>
                <c:pt idx="8">
                  <c:v>10</c:v>
                </c:pt>
                <c:pt idx="9">
                  <c:v>11</c:v>
                </c:pt>
                <c:pt idx="10">
                  <c:v>12</c:v>
                </c:pt>
              </c:strCache>
            </c:strRef>
          </c:cat>
          <c:val>
            <c:numRef>
              <c:f>Workbook!$C$116:$C$127</c:f>
              <c:numCache>
                <c:formatCode>0.00,,"M"</c:formatCode>
                <c:ptCount val="11"/>
                <c:pt idx="0">
                  <c:v>4905650</c:v>
                </c:pt>
                <c:pt idx="1">
                  <c:v>801079</c:v>
                </c:pt>
                <c:pt idx="2">
                  <c:v>35150</c:v>
                </c:pt>
                <c:pt idx="3">
                  <c:v>242397</c:v>
                </c:pt>
                <c:pt idx="4">
                  <c:v>213509</c:v>
                </c:pt>
                <c:pt idx="5">
                  <c:v>461015</c:v>
                </c:pt>
                <c:pt idx="6">
                  <c:v>787157</c:v>
                </c:pt>
                <c:pt idx="7">
                  <c:v>892625</c:v>
                </c:pt>
                <c:pt idx="8">
                  <c:v>387587</c:v>
                </c:pt>
                <c:pt idx="9">
                  <c:v>543208</c:v>
                </c:pt>
                <c:pt idx="10">
                  <c:v>219732</c:v>
                </c:pt>
              </c:numCache>
            </c:numRef>
          </c:val>
          <c:smooth val="0"/>
          <c:extLst>
            <c:ext xmlns:c16="http://schemas.microsoft.com/office/drawing/2014/chart" uri="{C3380CC4-5D6E-409C-BE32-E72D297353CC}">
              <c16:uniqueId val="{00000000-5747-4E64-8533-95887576CC66}"/>
            </c:ext>
          </c:extLst>
        </c:ser>
        <c:dLbls>
          <c:showLegendKey val="0"/>
          <c:showVal val="0"/>
          <c:showCatName val="0"/>
          <c:showSerName val="0"/>
          <c:showPercent val="0"/>
          <c:showBubbleSize val="0"/>
        </c:dLbls>
        <c:marker val="1"/>
        <c:smooth val="0"/>
        <c:axId val="157092848"/>
        <c:axId val="157091888"/>
      </c:lineChart>
      <c:catAx>
        <c:axId val="1570928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91888"/>
        <c:crosses val="autoZero"/>
        <c:auto val="1"/>
        <c:lblAlgn val="ctr"/>
        <c:lblOffset val="100"/>
        <c:noMultiLvlLbl val="0"/>
      </c:catAx>
      <c:valAx>
        <c:axId val="157091888"/>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92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[Cleaned_ElectroniTech_Manufacturing_Co._Dataset.xlsx]Workbook!PivotTable8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Shipment Status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Workbook!$C$131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F98-41F4-A580-50BDC10264F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F98-41F4-A580-50BDC10264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Workbook!$B$132:$B$134</c:f>
              <c:strCache>
                <c:ptCount val="2"/>
                <c:pt idx="0">
                  <c:v>DELIVERED</c:v>
                </c:pt>
                <c:pt idx="1">
                  <c:v>NOT DELIVERED</c:v>
                </c:pt>
              </c:strCache>
            </c:strRef>
          </c:cat>
          <c:val>
            <c:numRef>
              <c:f>Workbook!$C$132:$C$134</c:f>
              <c:numCache>
                <c:formatCode>General</c:formatCode>
                <c:ptCount val="2"/>
                <c:pt idx="0">
                  <c:v>100</c:v>
                </c:pt>
                <c:pt idx="1">
                  <c:v>100</c:v>
                </c:pt>
              </c:numCache>
            </c:numRef>
          </c:val>
          <c:extLst>
            <c:ext xmlns:c16="http://schemas.microsoft.com/office/drawing/2014/chart" uri="{C3380CC4-5D6E-409C-BE32-E72D297353CC}">
              <c16:uniqueId val="{00000000-1178-4D11-870B-71AD587AA06B}"/>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[Cleaned_ElectroniTech_Manufacturing_Co._Dataset.xlsx]Workbook!Top 10 Customers by Revenue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Customers by Revenue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Workbook!$C$148</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Workbook!$B$149:$B$159</c:f>
              <c:strCache>
                <c:ptCount val="10"/>
                <c:pt idx="0">
                  <c:v>Catherine</c:v>
                </c:pt>
                <c:pt idx="1">
                  <c:v>Frank</c:v>
                </c:pt>
                <c:pt idx="2">
                  <c:v>Stacy</c:v>
                </c:pt>
                <c:pt idx="3">
                  <c:v>Rayshawn</c:v>
                </c:pt>
                <c:pt idx="4">
                  <c:v>Chasity</c:v>
                </c:pt>
                <c:pt idx="5">
                  <c:v>Claude</c:v>
                </c:pt>
                <c:pt idx="6">
                  <c:v>Philip</c:v>
                </c:pt>
                <c:pt idx="7">
                  <c:v>Eddie</c:v>
                </c:pt>
                <c:pt idx="8">
                  <c:v>Dejon</c:v>
                </c:pt>
                <c:pt idx="9">
                  <c:v>Tiffany</c:v>
                </c:pt>
              </c:strCache>
            </c:strRef>
          </c:cat>
          <c:val>
            <c:numRef>
              <c:f>Workbook!$C$149:$C$159</c:f>
              <c:numCache>
                <c:formatCode>General</c:formatCode>
                <c:ptCount val="10"/>
                <c:pt idx="0">
                  <c:v>227910</c:v>
                </c:pt>
                <c:pt idx="1">
                  <c:v>174415</c:v>
                </c:pt>
                <c:pt idx="2">
                  <c:v>147150</c:v>
                </c:pt>
                <c:pt idx="3">
                  <c:v>146752</c:v>
                </c:pt>
                <c:pt idx="4">
                  <c:v>137966</c:v>
                </c:pt>
                <c:pt idx="5">
                  <c:v>135685</c:v>
                </c:pt>
                <c:pt idx="6">
                  <c:v>135129</c:v>
                </c:pt>
                <c:pt idx="7">
                  <c:v>131564</c:v>
                </c:pt>
                <c:pt idx="8">
                  <c:v>129325</c:v>
                </c:pt>
                <c:pt idx="9">
                  <c:v>120071</c:v>
                </c:pt>
              </c:numCache>
            </c:numRef>
          </c:val>
          <c:extLst>
            <c:ext xmlns:c16="http://schemas.microsoft.com/office/drawing/2014/chart" uri="{C3380CC4-5D6E-409C-BE32-E72D297353CC}">
              <c16:uniqueId val="{00000000-5E10-4955-806A-3ACA0395B50D}"/>
            </c:ext>
          </c:extLst>
        </c:ser>
        <c:dLbls>
          <c:showLegendKey val="0"/>
          <c:showVal val="1"/>
          <c:showCatName val="0"/>
          <c:showSerName val="0"/>
          <c:showPercent val="0"/>
          <c:showBubbleSize val="0"/>
        </c:dLbls>
        <c:gapWidth val="150"/>
        <c:shape val="box"/>
        <c:axId val="1338639456"/>
        <c:axId val="1357265984"/>
        <c:axId val="0"/>
      </c:bar3DChart>
      <c:catAx>
        <c:axId val="133863945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265984"/>
        <c:crosses val="autoZero"/>
        <c:auto val="1"/>
        <c:lblAlgn val="ctr"/>
        <c:lblOffset val="100"/>
        <c:noMultiLvlLbl val="0"/>
      </c:catAx>
      <c:valAx>
        <c:axId val="1357265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63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[Cleaned_ElectroniTech_Manufacturing_Co._Dataset.xlsx]Workbook!Shipment Domain Distribution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Shipment Domain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Workbook!$C$163</c:f>
              <c:strCache>
                <c:ptCount val="1"/>
                <c:pt idx="0">
                  <c:v>Total</c:v>
                </c:pt>
              </c:strCache>
            </c:strRef>
          </c:tx>
          <c:spPr>
            <a:solidFill>
              <a:schemeClr val="accent1"/>
            </a:solidFill>
            <a:ln>
              <a:noFill/>
            </a:ln>
            <a:effectLst/>
            <a:sp3d/>
          </c:spPr>
          <c:invertIfNegative val="0"/>
          <c:cat>
            <c:strRef>
              <c:f>Workbook!$B$164:$B$166</c:f>
              <c:strCache>
                <c:ptCount val="2"/>
                <c:pt idx="0">
                  <c:v>Domestic</c:v>
                </c:pt>
                <c:pt idx="1">
                  <c:v>International</c:v>
                </c:pt>
              </c:strCache>
            </c:strRef>
          </c:cat>
          <c:val>
            <c:numRef>
              <c:f>Workbook!$C$164:$C$166</c:f>
              <c:numCache>
                <c:formatCode>General</c:formatCode>
                <c:ptCount val="2"/>
                <c:pt idx="0">
                  <c:v>109</c:v>
                </c:pt>
                <c:pt idx="1">
                  <c:v>91</c:v>
                </c:pt>
              </c:numCache>
            </c:numRef>
          </c:val>
          <c:extLst>
            <c:ext xmlns:c16="http://schemas.microsoft.com/office/drawing/2014/chart" uri="{C3380CC4-5D6E-409C-BE32-E72D297353CC}">
              <c16:uniqueId val="{00000000-F8F4-4633-BF1C-9CCD2D80A5B7}"/>
            </c:ext>
          </c:extLst>
        </c:ser>
        <c:dLbls>
          <c:showLegendKey val="0"/>
          <c:showVal val="0"/>
          <c:showCatName val="0"/>
          <c:showSerName val="0"/>
          <c:showPercent val="0"/>
          <c:showBubbleSize val="0"/>
        </c:dLbls>
        <c:gapWidth val="150"/>
        <c:shape val="box"/>
        <c:axId val="234516320"/>
        <c:axId val="234511520"/>
        <c:axId val="0"/>
      </c:bar3DChart>
      <c:catAx>
        <c:axId val="23451632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511520"/>
        <c:crosses val="autoZero"/>
        <c:auto val="1"/>
        <c:lblAlgn val="ctr"/>
        <c:lblOffset val="100"/>
        <c:noMultiLvlLbl val="0"/>
      </c:catAx>
      <c:valAx>
        <c:axId val="234511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51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[Cleaned_ElectroniTech_Manufacturing_Co._Dataset.xlsx]Workbook!Customer Type Distribution</c:name>
    <c:fmtId val="0"/>
  </c:pivotSource>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IN"/>
              <a:t>Customer Type Distribution</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Lst>
        </c:dLbl>
      </c:pivotFmt>
      <c:pivotFmt>
        <c:idx val="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Lst>
        </c:dLbl>
      </c:pivotFmt>
      <c:pivotFmt>
        <c:idx val="2"/>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Lst>
        </c:dLbl>
      </c:pivotFmt>
      <c:pivotFmt>
        <c:idx val="3"/>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Workbook!$C$188</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2-D8BE-4C5D-BE64-8FD53DBE75B3}"/>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D8BE-4C5D-BE64-8FD53DBE75B3}"/>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4-D8BE-4C5D-BE64-8FD53DBE75B3}"/>
              </c:ext>
            </c:extLst>
          </c:dPt>
          <c:dLbls>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 xmlns:c16="http://schemas.microsoft.com/office/drawing/2014/chart" uri="{C3380CC4-5D6E-409C-BE32-E72D297353CC}">
                  <c16:uniqueId val="{00000002-D8BE-4C5D-BE64-8FD53DBE75B3}"/>
                </c:ext>
              </c:extLst>
            </c:dLbl>
            <c:dLbl>
              <c:idx val="1"/>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 xmlns:c16="http://schemas.microsoft.com/office/drawing/2014/chart" uri="{C3380CC4-5D6E-409C-BE32-E72D297353CC}">
                  <c16:uniqueId val="{00000003-D8BE-4C5D-BE64-8FD53DBE75B3}"/>
                </c:ext>
              </c:extLst>
            </c:dLbl>
            <c:dLbl>
              <c:idx val="2"/>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 xmlns:c16="http://schemas.microsoft.com/office/drawing/2014/chart" uri="{C3380CC4-5D6E-409C-BE32-E72D297353CC}">
                  <c16:uniqueId val="{00000004-D8BE-4C5D-BE64-8FD53DBE75B3}"/>
                </c:ext>
              </c:extLst>
            </c:dLbl>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Lst>
          </c:dLbls>
          <c:cat>
            <c:strRef>
              <c:f>Workbook!$B$189:$B$192</c:f>
              <c:strCache>
                <c:ptCount val="3"/>
                <c:pt idx="0">
                  <c:v>Internal Goods</c:v>
                </c:pt>
                <c:pt idx="1">
                  <c:v>Retail</c:v>
                </c:pt>
                <c:pt idx="2">
                  <c:v>Wholesale</c:v>
                </c:pt>
              </c:strCache>
            </c:strRef>
          </c:cat>
          <c:val>
            <c:numRef>
              <c:f>Workbook!$C$189:$C$192</c:f>
              <c:numCache>
                <c:formatCode>General</c:formatCode>
                <c:ptCount val="3"/>
                <c:pt idx="0">
                  <c:v>68</c:v>
                </c:pt>
                <c:pt idx="1">
                  <c:v>78</c:v>
                </c:pt>
                <c:pt idx="2">
                  <c:v>54</c:v>
                </c:pt>
              </c:numCache>
            </c:numRef>
          </c:val>
          <c:extLst>
            <c:ext xmlns:c16="http://schemas.microsoft.com/office/drawing/2014/chart" uri="{C3380CC4-5D6E-409C-BE32-E72D297353CC}">
              <c16:uniqueId val="{00000000-D8BE-4C5D-BE64-8FD53DBE75B3}"/>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[Cleaned_ElectroniTech_Manufacturing_Co._Dataset.xlsx]Workbook!PivotTable6</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Delivery Status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23403324584424"/>
          <c:y val="0.27458114610673667"/>
          <c:w val="0.62980293088363959"/>
          <c:h val="0.61801946631671045"/>
        </c:manualLayout>
      </c:layout>
      <c:barChart>
        <c:barDir val="bar"/>
        <c:grouping val="clustered"/>
        <c:varyColors val="0"/>
        <c:ser>
          <c:idx val="0"/>
          <c:order val="0"/>
          <c:tx>
            <c:strRef>
              <c:f>Workbook!$C$202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Workbook!$B$203:$B$207</c:f>
              <c:strCache>
                <c:ptCount val="4"/>
                <c:pt idx="0">
                  <c:v>Delayed</c:v>
                </c:pt>
                <c:pt idx="1">
                  <c:v>Fast</c:v>
                </c:pt>
                <c:pt idx="2">
                  <c:v>Invalid</c:v>
                </c:pt>
                <c:pt idx="3">
                  <c:v>Normal</c:v>
                </c:pt>
              </c:strCache>
            </c:strRef>
          </c:cat>
          <c:val>
            <c:numRef>
              <c:f>Workbook!$C$203:$C$207</c:f>
              <c:numCache>
                <c:formatCode>General</c:formatCode>
                <c:ptCount val="4"/>
                <c:pt idx="0">
                  <c:v>172</c:v>
                </c:pt>
                <c:pt idx="1">
                  <c:v>5</c:v>
                </c:pt>
                <c:pt idx="2">
                  <c:v>12</c:v>
                </c:pt>
                <c:pt idx="3">
                  <c:v>11</c:v>
                </c:pt>
              </c:numCache>
            </c:numRef>
          </c:val>
          <c:extLst>
            <c:ext xmlns:c16="http://schemas.microsoft.com/office/drawing/2014/chart" uri="{C3380CC4-5D6E-409C-BE32-E72D297353CC}">
              <c16:uniqueId val="{00000000-9DDF-4242-819A-36CD297D3D30}"/>
            </c:ext>
          </c:extLst>
        </c:ser>
        <c:dLbls>
          <c:dLblPos val="outEnd"/>
          <c:showLegendKey val="0"/>
          <c:showVal val="1"/>
          <c:showCatName val="0"/>
          <c:showSerName val="0"/>
          <c:showPercent val="0"/>
          <c:showBubbleSize val="0"/>
        </c:dLbls>
        <c:gapWidth val="247"/>
        <c:axId val="1524516399"/>
        <c:axId val="1524514959"/>
      </c:barChart>
      <c:catAx>
        <c:axId val="152451639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524514959"/>
        <c:crosses val="autoZero"/>
        <c:auto val="1"/>
        <c:lblAlgn val="ctr"/>
        <c:lblOffset val="100"/>
        <c:noMultiLvlLbl val="0"/>
      </c:catAx>
      <c:valAx>
        <c:axId val="1524514959"/>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524516399"/>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[Cleaned_ElectroniTech_Manufacturing_Co._Dataset.xlsx]Workbook!PivotTable9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Shipment Per Employee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Workbook!$C$235</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Workbook!$B$236:$B$259</c:f>
              <c:strCache>
                <c:ptCount val="23"/>
                <c:pt idx="0">
                  <c:v>Bryce</c:v>
                </c:pt>
                <c:pt idx="1">
                  <c:v>Robert</c:v>
                </c:pt>
                <c:pt idx="2">
                  <c:v>Alexia</c:v>
                </c:pt>
                <c:pt idx="3">
                  <c:v>Stanley</c:v>
                </c:pt>
                <c:pt idx="4">
                  <c:v>Anne</c:v>
                </c:pt>
                <c:pt idx="5">
                  <c:v>Ramona</c:v>
                </c:pt>
                <c:pt idx="6">
                  <c:v>Benita</c:v>
                </c:pt>
                <c:pt idx="7">
                  <c:v>Ryker</c:v>
                </c:pt>
                <c:pt idx="8">
                  <c:v>Beth</c:v>
                </c:pt>
                <c:pt idx="9">
                  <c:v>Jan</c:v>
                </c:pt>
                <c:pt idx="10">
                  <c:v>Jensen</c:v>
                </c:pt>
                <c:pt idx="11">
                  <c:v>Kaitlyn</c:v>
                </c:pt>
                <c:pt idx="12">
                  <c:v>Kelly</c:v>
                </c:pt>
                <c:pt idx="13">
                  <c:v>Clay</c:v>
                </c:pt>
                <c:pt idx="14">
                  <c:v>Rayburn</c:v>
                </c:pt>
                <c:pt idx="15">
                  <c:v>David</c:v>
                </c:pt>
                <c:pt idx="16">
                  <c:v>Ryan</c:v>
                </c:pt>
                <c:pt idx="17">
                  <c:v>Dawn</c:v>
                </c:pt>
                <c:pt idx="18">
                  <c:v>Scott</c:v>
                </c:pt>
                <c:pt idx="19">
                  <c:v>Ericka</c:v>
                </c:pt>
                <c:pt idx="20">
                  <c:v>Tiffani</c:v>
                </c:pt>
                <c:pt idx="21">
                  <c:v>Harriette</c:v>
                </c:pt>
                <c:pt idx="22">
                  <c:v>Jalen</c:v>
                </c:pt>
              </c:strCache>
            </c:strRef>
          </c:cat>
          <c:val>
            <c:numRef>
              <c:f>Workbook!$C$236:$C$259</c:f>
              <c:numCache>
                <c:formatCode>General</c:formatCode>
                <c:ptCount val="23"/>
                <c:pt idx="0">
                  <c:v>3</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2</c:v>
                </c:pt>
                <c:pt idx="17">
                  <c:v>2</c:v>
                </c:pt>
                <c:pt idx="18">
                  <c:v>2</c:v>
                </c:pt>
                <c:pt idx="19">
                  <c:v>2</c:v>
                </c:pt>
                <c:pt idx="20">
                  <c:v>2</c:v>
                </c:pt>
                <c:pt idx="21">
                  <c:v>2</c:v>
                </c:pt>
                <c:pt idx="22">
                  <c:v>2</c:v>
                </c:pt>
              </c:numCache>
            </c:numRef>
          </c:val>
          <c:extLst>
            <c:ext xmlns:c16="http://schemas.microsoft.com/office/drawing/2014/chart" uri="{C3380CC4-5D6E-409C-BE32-E72D297353CC}">
              <c16:uniqueId val="{00000000-EA0A-49F2-A177-9F5963A21314}"/>
            </c:ext>
          </c:extLst>
        </c:ser>
        <c:dLbls>
          <c:showLegendKey val="0"/>
          <c:showVal val="1"/>
          <c:showCatName val="0"/>
          <c:showSerName val="0"/>
          <c:showPercent val="0"/>
          <c:showBubbleSize val="0"/>
        </c:dLbls>
        <c:gapWidth val="150"/>
        <c:shape val="box"/>
        <c:axId val="1778852095"/>
        <c:axId val="1778847775"/>
        <c:axId val="0"/>
      </c:bar3DChart>
      <c:catAx>
        <c:axId val="17788520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847775"/>
        <c:crosses val="autoZero"/>
        <c:auto val="1"/>
        <c:lblAlgn val="ctr"/>
        <c:lblOffset val="100"/>
        <c:noMultiLvlLbl val="0"/>
      </c:catAx>
      <c:valAx>
        <c:axId val="1778847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852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[Cleaned_ElectroniTech_Manufacturing_Co._Dataset.xlsx]Workbook!PivotTable12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Branch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917825896762904"/>
          <c:y val="0.21235892388451444"/>
          <c:w val="0.77759951881014866"/>
          <c:h val="0.68024168853893263"/>
        </c:manualLayout>
      </c:layout>
      <c:bar3DChart>
        <c:barDir val="bar"/>
        <c:grouping val="clustered"/>
        <c:varyColors val="0"/>
        <c:ser>
          <c:idx val="0"/>
          <c:order val="0"/>
          <c:tx>
            <c:strRef>
              <c:f>Workbook!$C$264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Workbook!$B$265:$B$275</c:f>
              <c:strCache>
                <c:ptCount val="10"/>
                <c:pt idx="0">
                  <c:v>TX</c:v>
                </c:pt>
                <c:pt idx="1">
                  <c:v>NY</c:v>
                </c:pt>
                <c:pt idx="2">
                  <c:v>IL</c:v>
                </c:pt>
                <c:pt idx="3">
                  <c:v>OH</c:v>
                </c:pt>
                <c:pt idx="4">
                  <c:v>CA</c:v>
                </c:pt>
                <c:pt idx="5">
                  <c:v>MA</c:v>
                </c:pt>
                <c:pt idx="6">
                  <c:v>MO</c:v>
                </c:pt>
                <c:pt idx="7">
                  <c:v>VA</c:v>
                </c:pt>
                <c:pt idx="8">
                  <c:v>CT</c:v>
                </c:pt>
                <c:pt idx="9">
                  <c:v>NC</c:v>
                </c:pt>
              </c:strCache>
            </c:strRef>
          </c:cat>
          <c:val>
            <c:numRef>
              <c:f>Workbook!$C$265:$C$275</c:f>
              <c:numCache>
                <c:formatCode>General</c:formatCode>
                <c:ptCount val="10"/>
                <c:pt idx="0">
                  <c:v>14</c:v>
                </c:pt>
                <c:pt idx="1">
                  <c:v>13</c:v>
                </c:pt>
                <c:pt idx="2">
                  <c:v>12</c:v>
                </c:pt>
                <c:pt idx="3">
                  <c:v>11</c:v>
                </c:pt>
                <c:pt idx="4">
                  <c:v>11</c:v>
                </c:pt>
                <c:pt idx="5">
                  <c:v>9</c:v>
                </c:pt>
                <c:pt idx="6">
                  <c:v>8</c:v>
                </c:pt>
                <c:pt idx="7">
                  <c:v>8</c:v>
                </c:pt>
                <c:pt idx="8">
                  <c:v>7</c:v>
                </c:pt>
                <c:pt idx="9">
                  <c:v>7</c:v>
                </c:pt>
              </c:numCache>
            </c:numRef>
          </c:val>
          <c:extLst>
            <c:ext xmlns:c16="http://schemas.microsoft.com/office/drawing/2014/chart" uri="{C3380CC4-5D6E-409C-BE32-E72D297353CC}">
              <c16:uniqueId val="{00000000-7529-4CCB-8A18-E90759498CBC}"/>
            </c:ext>
          </c:extLst>
        </c:ser>
        <c:dLbls>
          <c:showLegendKey val="0"/>
          <c:showVal val="1"/>
          <c:showCatName val="0"/>
          <c:showSerName val="0"/>
          <c:showPercent val="0"/>
          <c:showBubbleSize val="0"/>
        </c:dLbls>
        <c:gapWidth val="150"/>
        <c:shape val="box"/>
        <c:axId val="595549935"/>
        <c:axId val="595550415"/>
        <c:axId val="0"/>
      </c:bar3DChart>
      <c:catAx>
        <c:axId val="595549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550415"/>
        <c:crosses val="autoZero"/>
        <c:auto val="1"/>
        <c:lblAlgn val="ctr"/>
        <c:lblOffset val="100"/>
        <c:noMultiLvlLbl val="0"/>
      </c:catAx>
      <c:valAx>
        <c:axId val="5955504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54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[Cleaned_ElectroniTech_Manufacturing_Co._Dataset.xlsx]Workbook!PivotTable13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Designation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Workbook!$C$286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Workbook!$B$287:$B$314</c:f>
              <c:strCache>
                <c:ptCount val="27"/>
                <c:pt idx="0">
                  <c:v>Delivery Boy</c:v>
                </c:pt>
                <c:pt idx="1">
                  <c:v>Market analyst</c:v>
                </c:pt>
                <c:pt idx="2">
                  <c:v>Office manager</c:v>
                </c:pt>
                <c:pt idx="3">
                  <c:v>Transport manager</c:v>
                </c:pt>
                <c:pt idx="4">
                  <c:v>Project director</c:v>
                </c:pt>
                <c:pt idx="5">
                  <c:v>IT support executive</c:v>
                </c:pt>
                <c:pt idx="6">
                  <c:v>Warehouse manager</c:v>
                </c:pt>
                <c:pt idx="7">
                  <c:v>Chief finance officer</c:v>
                </c:pt>
                <c:pt idx="8">
                  <c:v>Sales manager</c:v>
                </c:pt>
                <c:pt idx="9">
                  <c:v>Branch manager</c:v>
                </c:pt>
                <c:pt idx="10">
                  <c:v>Warehouse in charge</c:v>
                </c:pt>
                <c:pt idx="11">
                  <c:v>Material handling executive</c:v>
                </c:pt>
                <c:pt idx="12">
                  <c:v>Inventory manager</c:v>
                </c:pt>
                <c:pt idx="13">
                  <c:v>Engineering department manager</c:v>
                </c:pt>
                <c:pt idx="14">
                  <c:v>Assistant manager</c:v>
                </c:pt>
                <c:pt idx="15">
                  <c:v>Manager</c:v>
                </c:pt>
                <c:pt idx="16">
                  <c:v>Non-executive director</c:v>
                </c:pt>
                <c:pt idx="17">
                  <c:v>Block development manager</c:v>
                </c:pt>
                <c:pt idx="18">
                  <c:v>Head of marketing</c:v>
                </c:pt>
                <c:pt idx="19">
                  <c:v>In House logistics executive</c:v>
                </c:pt>
                <c:pt idx="20">
                  <c:v>HR manager</c:v>
                </c:pt>
                <c:pt idx="21">
                  <c:v>Fleet manager</c:v>
                </c:pt>
                <c:pt idx="22">
                  <c:v>Chief executive officer</c:v>
                </c:pt>
                <c:pt idx="23">
                  <c:v>Technical support executive</c:v>
                </c:pt>
                <c:pt idx="24">
                  <c:v>Marketing manager</c:v>
                </c:pt>
                <c:pt idx="25">
                  <c:v>Executive director</c:v>
                </c:pt>
                <c:pt idx="26">
                  <c:v>Director</c:v>
                </c:pt>
              </c:strCache>
            </c:strRef>
          </c:cat>
          <c:val>
            <c:numRef>
              <c:f>Workbook!$C$287:$C$314</c:f>
              <c:numCache>
                <c:formatCode>General</c:formatCode>
                <c:ptCount val="27"/>
                <c:pt idx="0">
                  <c:v>14</c:v>
                </c:pt>
                <c:pt idx="1">
                  <c:v>11</c:v>
                </c:pt>
                <c:pt idx="2">
                  <c:v>10</c:v>
                </c:pt>
                <c:pt idx="3">
                  <c:v>10</c:v>
                </c:pt>
                <c:pt idx="4">
                  <c:v>10</c:v>
                </c:pt>
                <c:pt idx="5">
                  <c:v>10</c:v>
                </c:pt>
                <c:pt idx="6">
                  <c:v>10</c:v>
                </c:pt>
                <c:pt idx="7">
                  <c:v>10</c:v>
                </c:pt>
                <c:pt idx="8">
                  <c:v>9</c:v>
                </c:pt>
                <c:pt idx="9">
                  <c:v>8</c:v>
                </c:pt>
                <c:pt idx="10">
                  <c:v>8</c:v>
                </c:pt>
                <c:pt idx="11">
                  <c:v>8</c:v>
                </c:pt>
                <c:pt idx="12">
                  <c:v>8</c:v>
                </c:pt>
                <c:pt idx="13">
                  <c:v>7</c:v>
                </c:pt>
                <c:pt idx="14">
                  <c:v>7</c:v>
                </c:pt>
                <c:pt idx="15">
                  <c:v>7</c:v>
                </c:pt>
                <c:pt idx="16">
                  <c:v>7</c:v>
                </c:pt>
                <c:pt idx="17">
                  <c:v>6</c:v>
                </c:pt>
                <c:pt idx="18">
                  <c:v>6</c:v>
                </c:pt>
                <c:pt idx="19">
                  <c:v>6</c:v>
                </c:pt>
                <c:pt idx="20">
                  <c:v>5</c:v>
                </c:pt>
                <c:pt idx="21">
                  <c:v>5</c:v>
                </c:pt>
                <c:pt idx="22">
                  <c:v>4</c:v>
                </c:pt>
                <c:pt idx="23">
                  <c:v>4</c:v>
                </c:pt>
                <c:pt idx="24">
                  <c:v>4</c:v>
                </c:pt>
                <c:pt idx="25">
                  <c:v>4</c:v>
                </c:pt>
                <c:pt idx="26">
                  <c:v>2</c:v>
                </c:pt>
              </c:numCache>
            </c:numRef>
          </c:val>
          <c:extLst>
            <c:ext xmlns:c16="http://schemas.microsoft.com/office/drawing/2014/chart" uri="{C3380CC4-5D6E-409C-BE32-E72D297353CC}">
              <c16:uniqueId val="{00000000-253E-4A6F-A0B2-9727DCA1DCA6}"/>
            </c:ext>
          </c:extLst>
        </c:ser>
        <c:dLbls>
          <c:showLegendKey val="0"/>
          <c:showVal val="1"/>
          <c:showCatName val="0"/>
          <c:showSerName val="0"/>
          <c:showPercent val="0"/>
          <c:showBubbleSize val="0"/>
        </c:dLbls>
        <c:gapWidth val="150"/>
        <c:shape val="box"/>
        <c:axId val="1778259439"/>
        <c:axId val="1778258479"/>
        <c:axId val="0"/>
      </c:bar3DChart>
      <c:catAx>
        <c:axId val="17782594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258479"/>
        <c:crosses val="autoZero"/>
        <c:auto val="1"/>
        <c:lblAlgn val="ctr"/>
        <c:lblOffset val="100"/>
        <c:noMultiLvlLbl val="0"/>
      </c:catAx>
      <c:valAx>
        <c:axId val="1778258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259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[Cleaned_ElectroniTech_Manufacturing_Co._Dataset.xlsx]Workbook!Average Shiping weight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Shipment Weight per Shipment Content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Workbook!$C$320</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Workbook!$B$321:$B$332</c:f>
              <c:strCache>
                <c:ptCount val="11"/>
                <c:pt idx="0">
                  <c:v>Food and Beverages</c:v>
                </c:pt>
                <c:pt idx="1">
                  <c:v>Automotive</c:v>
                </c:pt>
                <c:pt idx="2">
                  <c:v>Hazardous Goods</c:v>
                </c:pt>
                <c:pt idx="3">
                  <c:v>Arts and crafts</c:v>
                </c:pt>
                <c:pt idx="4">
                  <c:v>Home Furnishing</c:v>
                </c:pt>
                <c:pt idx="5">
                  <c:v>Industrial Equipments</c:v>
                </c:pt>
                <c:pt idx="6">
                  <c:v>Electronics</c:v>
                </c:pt>
                <c:pt idx="7">
                  <c:v>Construction</c:v>
                </c:pt>
                <c:pt idx="8">
                  <c:v>Healthcare</c:v>
                </c:pt>
                <c:pt idx="9">
                  <c:v>Luggage</c:v>
                </c:pt>
                <c:pt idx="10">
                  <c:v>Fashion</c:v>
                </c:pt>
              </c:strCache>
            </c:strRef>
          </c:cat>
          <c:val>
            <c:numRef>
              <c:f>Workbook!$C$321:$C$332</c:f>
              <c:numCache>
                <c:formatCode>0.00</c:formatCode>
                <c:ptCount val="11"/>
                <c:pt idx="0">
                  <c:v>428.85714285714283</c:v>
                </c:pt>
                <c:pt idx="1">
                  <c:v>447.23529411764707</c:v>
                </c:pt>
                <c:pt idx="2">
                  <c:v>452.76470588235293</c:v>
                </c:pt>
                <c:pt idx="3">
                  <c:v>478.63636363636363</c:v>
                </c:pt>
                <c:pt idx="4">
                  <c:v>491.40909090909093</c:v>
                </c:pt>
                <c:pt idx="5">
                  <c:v>512.26315789473688</c:v>
                </c:pt>
                <c:pt idx="6">
                  <c:v>517.38888888888891</c:v>
                </c:pt>
                <c:pt idx="7">
                  <c:v>570.61904761904759</c:v>
                </c:pt>
                <c:pt idx="8">
                  <c:v>588.375</c:v>
                </c:pt>
                <c:pt idx="9">
                  <c:v>605.42857142857144</c:v>
                </c:pt>
                <c:pt idx="10">
                  <c:v>661.61538461538464</c:v>
                </c:pt>
              </c:numCache>
            </c:numRef>
          </c:val>
          <c:extLst>
            <c:ext xmlns:c16="http://schemas.microsoft.com/office/drawing/2014/chart" uri="{C3380CC4-5D6E-409C-BE32-E72D297353CC}">
              <c16:uniqueId val="{00000000-D00C-4347-AFDF-4E926163BC37}"/>
            </c:ext>
          </c:extLst>
        </c:ser>
        <c:dLbls>
          <c:showLegendKey val="0"/>
          <c:showVal val="1"/>
          <c:showCatName val="0"/>
          <c:showSerName val="0"/>
          <c:showPercent val="0"/>
          <c:showBubbleSize val="0"/>
        </c:dLbls>
        <c:gapWidth val="150"/>
        <c:shape val="box"/>
        <c:axId val="1385992239"/>
        <c:axId val="1385992719"/>
        <c:axId val="0"/>
      </c:bar3DChart>
      <c:catAx>
        <c:axId val="1385992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992719"/>
        <c:crosses val="autoZero"/>
        <c:auto val="1"/>
        <c:lblAlgn val="ctr"/>
        <c:lblOffset val="100"/>
        <c:noMultiLvlLbl val="0"/>
      </c:catAx>
      <c:valAx>
        <c:axId val="138599271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992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[Cleaned_ElectroniTech_Manufacturing_Co._Dataset.xlsx]Workbook!PivotTable15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Weight &amp; Charges Per Shipment Domain</a:t>
            </a:r>
            <a:endParaRPr lang="en-IN"/>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Workbook!$C$336</c:f>
              <c:strCache>
                <c:ptCount val="1"/>
                <c:pt idx="0">
                  <c:v>Average of Shipment_Weight</c:v>
                </c:pt>
              </c:strCache>
            </c:strRef>
          </c:tx>
          <c:spPr>
            <a:solidFill>
              <a:schemeClr val="accent1"/>
            </a:solidFill>
            <a:ln>
              <a:noFill/>
            </a:ln>
            <a:effectLst/>
            <a:sp3d/>
          </c:spPr>
          <c:invertIfNegative val="0"/>
          <c:cat>
            <c:strRef>
              <c:f>Workbook!$B$337:$B$339</c:f>
              <c:strCache>
                <c:ptCount val="2"/>
                <c:pt idx="0">
                  <c:v>Domestic</c:v>
                </c:pt>
                <c:pt idx="1">
                  <c:v>International</c:v>
                </c:pt>
              </c:strCache>
            </c:strRef>
          </c:cat>
          <c:val>
            <c:numRef>
              <c:f>Workbook!$C$337:$C$339</c:f>
              <c:numCache>
                <c:formatCode>0.00</c:formatCode>
                <c:ptCount val="2"/>
                <c:pt idx="0">
                  <c:v>535.27522935779814</c:v>
                </c:pt>
                <c:pt idx="1">
                  <c:v>506.13186813186815</c:v>
                </c:pt>
              </c:numCache>
            </c:numRef>
          </c:val>
          <c:extLst>
            <c:ext xmlns:c16="http://schemas.microsoft.com/office/drawing/2014/chart" uri="{C3380CC4-5D6E-409C-BE32-E72D297353CC}">
              <c16:uniqueId val="{00000000-8BFA-4032-8B4F-61F5F526FC31}"/>
            </c:ext>
          </c:extLst>
        </c:ser>
        <c:ser>
          <c:idx val="1"/>
          <c:order val="1"/>
          <c:tx>
            <c:strRef>
              <c:f>Workbook!$D$336</c:f>
              <c:strCache>
                <c:ptCount val="1"/>
                <c:pt idx="0">
                  <c:v>Average of Shipment_Charges</c:v>
                </c:pt>
              </c:strCache>
            </c:strRef>
          </c:tx>
          <c:spPr>
            <a:solidFill>
              <a:schemeClr val="accent2"/>
            </a:solidFill>
            <a:ln>
              <a:noFill/>
            </a:ln>
            <a:effectLst/>
            <a:sp3d/>
          </c:spPr>
          <c:invertIfNegative val="0"/>
          <c:cat>
            <c:strRef>
              <c:f>Workbook!$B$337:$B$339</c:f>
              <c:strCache>
                <c:ptCount val="2"/>
                <c:pt idx="0">
                  <c:v>Domestic</c:v>
                </c:pt>
                <c:pt idx="1">
                  <c:v>International</c:v>
                </c:pt>
              </c:strCache>
            </c:strRef>
          </c:cat>
          <c:val>
            <c:numRef>
              <c:f>Workbook!$D$337:$D$339</c:f>
              <c:numCache>
                <c:formatCode>0.00</c:formatCode>
                <c:ptCount val="2"/>
                <c:pt idx="0">
                  <c:v>936.11926605504584</c:v>
                </c:pt>
                <c:pt idx="1">
                  <c:v>940.1868131868132</c:v>
                </c:pt>
              </c:numCache>
            </c:numRef>
          </c:val>
          <c:extLst>
            <c:ext xmlns:c16="http://schemas.microsoft.com/office/drawing/2014/chart" uri="{C3380CC4-5D6E-409C-BE32-E72D297353CC}">
              <c16:uniqueId val="{00000001-8BFA-4032-8B4F-61F5F526FC31}"/>
            </c:ext>
          </c:extLst>
        </c:ser>
        <c:dLbls>
          <c:showLegendKey val="0"/>
          <c:showVal val="0"/>
          <c:showCatName val="0"/>
          <c:showSerName val="0"/>
          <c:showPercent val="0"/>
          <c:showBubbleSize val="0"/>
        </c:dLbls>
        <c:gapWidth val="150"/>
        <c:shape val="box"/>
        <c:axId val="1385994639"/>
        <c:axId val="1385998959"/>
        <c:axId val="1646984575"/>
      </c:bar3DChart>
      <c:catAx>
        <c:axId val="13859946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998959"/>
        <c:crosses val="autoZero"/>
        <c:auto val="1"/>
        <c:lblAlgn val="ctr"/>
        <c:lblOffset val="100"/>
        <c:noMultiLvlLbl val="0"/>
      </c:catAx>
      <c:valAx>
        <c:axId val="13859989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994639"/>
        <c:crosses val="autoZero"/>
        <c:crossBetween val="between"/>
      </c:valAx>
      <c:serAx>
        <c:axId val="1646984575"/>
        <c:scaling>
          <c:orientation val="minMax"/>
        </c:scaling>
        <c:delete val="1"/>
        <c:axPos val="b"/>
        <c:majorTickMark val="none"/>
        <c:minorTickMark val="none"/>
        <c:tickLblPos val="nextTo"/>
        <c:crossAx val="138599895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[Cleaned_ElectroniTech_Manufacturing_Co._Dataset.xlsx]Workbook!Revenue by Payment mode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Payment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004017862696072"/>
          <c:y val="0.39005162934880055"/>
          <c:w val="0.66600769986690056"/>
          <c:h val="0.39748063899419978"/>
        </c:manualLayout>
      </c:layout>
      <c:bar3DChart>
        <c:barDir val="col"/>
        <c:grouping val="standard"/>
        <c:varyColors val="0"/>
        <c:ser>
          <c:idx val="0"/>
          <c:order val="0"/>
          <c:tx>
            <c:strRef>
              <c:f>Workbook!$C$90</c:f>
              <c:strCache>
                <c:ptCount val="1"/>
                <c:pt idx="0">
                  <c:v>Total</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Workbook!$B$91:$B$93</c:f>
              <c:strCache>
                <c:ptCount val="2"/>
                <c:pt idx="0">
                  <c:v>CARD PAYMENT</c:v>
                </c:pt>
                <c:pt idx="1">
                  <c:v>COD</c:v>
                </c:pt>
              </c:strCache>
            </c:strRef>
          </c:cat>
          <c:val>
            <c:numRef>
              <c:f>Workbook!$C$91:$C$93</c:f>
              <c:numCache>
                <c:formatCode>0.00,,"M"</c:formatCode>
                <c:ptCount val="2"/>
                <c:pt idx="0">
                  <c:v>4233750</c:v>
                </c:pt>
                <c:pt idx="1">
                  <c:v>5255359</c:v>
                </c:pt>
              </c:numCache>
            </c:numRef>
          </c:val>
          <c:extLst>
            <c:ext xmlns:c16="http://schemas.microsoft.com/office/drawing/2014/chart" uri="{C3380CC4-5D6E-409C-BE32-E72D297353CC}">
              <c16:uniqueId val="{00000000-F1BC-4380-A390-3A57C3B05DF3}"/>
            </c:ext>
          </c:extLst>
        </c:ser>
        <c:dLbls>
          <c:showLegendKey val="0"/>
          <c:showVal val="1"/>
          <c:showCatName val="0"/>
          <c:showSerName val="0"/>
          <c:showPercent val="0"/>
          <c:showBubbleSize val="0"/>
        </c:dLbls>
        <c:gapWidth val="150"/>
        <c:shape val="box"/>
        <c:axId val="1341741616"/>
        <c:axId val="1341742096"/>
        <c:axId val="1481885088"/>
      </c:bar3DChart>
      <c:catAx>
        <c:axId val="13417416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742096"/>
        <c:crosses val="autoZero"/>
        <c:auto val="1"/>
        <c:lblAlgn val="ctr"/>
        <c:lblOffset val="100"/>
        <c:noMultiLvlLbl val="0"/>
      </c:catAx>
      <c:valAx>
        <c:axId val="1341742096"/>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741616"/>
        <c:crosses val="autoZero"/>
        <c:crossBetween val="between"/>
      </c:valAx>
      <c:serAx>
        <c:axId val="148188508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742096"/>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[Cleaned_ElectroniTech_Manufacturing_Co._Dataset.xlsx]Workbook!Payment Caterory by diatribution</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Payment Category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28790045084077404"/>
          <c:y val="0.29073414578364426"/>
          <c:w val="0.3484418365168469"/>
          <c:h val="0.60435140109560992"/>
        </c:manualLayout>
      </c:layout>
      <c:doughnutChart>
        <c:varyColors val="1"/>
        <c:ser>
          <c:idx val="0"/>
          <c:order val="0"/>
          <c:tx>
            <c:strRef>
              <c:f>Workbook!$C$102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81-4513-A0D7-514FCD8AA9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81-4513-A0D7-514FCD8AA9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581-4513-A0D7-514FCD8AA9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Workbook!$B$103:$B$106</c:f>
              <c:strCache>
                <c:ptCount val="3"/>
                <c:pt idx="0">
                  <c:v>High</c:v>
                </c:pt>
                <c:pt idx="1">
                  <c:v>Medium</c:v>
                </c:pt>
                <c:pt idx="2">
                  <c:v>Low</c:v>
                </c:pt>
              </c:strCache>
            </c:strRef>
          </c:cat>
          <c:val>
            <c:numRef>
              <c:f>Workbook!$C$103:$C$106</c:f>
              <c:numCache>
                <c:formatCode>General</c:formatCode>
                <c:ptCount val="3"/>
                <c:pt idx="0">
                  <c:v>182</c:v>
                </c:pt>
                <c:pt idx="1">
                  <c:v>10</c:v>
                </c:pt>
                <c:pt idx="2">
                  <c:v>8</c:v>
                </c:pt>
              </c:numCache>
            </c:numRef>
          </c:val>
          <c:extLst>
            <c:ext xmlns:c16="http://schemas.microsoft.com/office/drawing/2014/chart" uri="{C3380CC4-5D6E-409C-BE32-E72D297353CC}">
              <c16:uniqueId val="{00000006-2581-4513-A0D7-514FCD8AA92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[Cleaned_ElectroniTech_Manufacturing_Co._Dataset.xlsx]Workbook!Monthly Revenue Trend</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Monthly Revenue Trend</a:t>
            </a:r>
          </a:p>
        </c:rich>
      </c:tx>
      <c:overlay val="0"/>
      <c:spPr>
        <a:noFill/>
        <a:ln>
          <a:noFill/>
        </a:ln>
        <a:effectLst/>
      </c:sp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elet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elete val="1"/>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elete val="1"/>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elete val="1"/>
          <c:extLst>
            <c:ext xmlns:c15="http://schemas.microsoft.com/office/drawing/2012/chart" uri="{CE6537A1-D6FC-4f65-9D91-7224C49458BB}"/>
          </c:extLst>
        </c:dLbl>
      </c:pivotFmt>
    </c:pivotFmts>
    <c:plotArea>
      <c:layout>
        <c:manualLayout>
          <c:layoutTarget val="inner"/>
          <c:xMode val="edge"/>
          <c:yMode val="edge"/>
          <c:x val="9.4176301401557083E-2"/>
          <c:y val="0.34072890910620696"/>
          <c:w val="0.88070953883247738"/>
          <c:h val="0.52265943981985352"/>
        </c:manualLayout>
      </c:layout>
      <c:lineChart>
        <c:grouping val="standard"/>
        <c:varyColors val="0"/>
        <c:ser>
          <c:idx val="0"/>
          <c:order val="0"/>
          <c:tx>
            <c:strRef>
              <c:f>Workbook!$C$115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ln>
              <a:effectLst/>
            </c:spPr>
            <c:trendlineType val="linear"/>
            <c:dispRSqr val="0"/>
            <c:dispEq val="0"/>
          </c:trendline>
          <c:cat>
            <c:strRef>
              <c:f>Workbook!$B$116:$B$127</c:f>
              <c:strCache>
                <c:ptCount val="11"/>
                <c:pt idx="0">
                  <c:v>1</c:v>
                </c:pt>
                <c:pt idx="1">
                  <c:v>3</c:v>
                </c:pt>
                <c:pt idx="2">
                  <c:v>4</c:v>
                </c:pt>
                <c:pt idx="3">
                  <c:v>5</c:v>
                </c:pt>
                <c:pt idx="4">
                  <c:v>6</c:v>
                </c:pt>
                <c:pt idx="5">
                  <c:v>7</c:v>
                </c:pt>
                <c:pt idx="6">
                  <c:v>8</c:v>
                </c:pt>
                <c:pt idx="7">
                  <c:v>9</c:v>
                </c:pt>
                <c:pt idx="8">
                  <c:v>10</c:v>
                </c:pt>
                <c:pt idx="9">
                  <c:v>11</c:v>
                </c:pt>
                <c:pt idx="10">
                  <c:v>12</c:v>
                </c:pt>
              </c:strCache>
            </c:strRef>
          </c:cat>
          <c:val>
            <c:numRef>
              <c:f>Workbook!$C$116:$C$127</c:f>
              <c:numCache>
                <c:formatCode>0.00,,"M"</c:formatCode>
                <c:ptCount val="11"/>
                <c:pt idx="0">
                  <c:v>4905650</c:v>
                </c:pt>
                <c:pt idx="1">
                  <c:v>801079</c:v>
                </c:pt>
                <c:pt idx="2">
                  <c:v>35150</c:v>
                </c:pt>
                <c:pt idx="3">
                  <c:v>242397</c:v>
                </c:pt>
                <c:pt idx="4">
                  <c:v>213509</c:v>
                </c:pt>
                <c:pt idx="5">
                  <c:v>461015</c:v>
                </c:pt>
                <c:pt idx="6">
                  <c:v>787157</c:v>
                </c:pt>
                <c:pt idx="7">
                  <c:v>892625</c:v>
                </c:pt>
                <c:pt idx="8">
                  <c:v>387587</c:v>
                </c:pt>
                <c:pt idx="9">
                  <c:v>543208</c:v>
                </c:pt>
                <c:pt idx="10">
                  <c:v>219732</c:v>
                </c:pt>
              </c:numCache>
            </c:numRef>
          </c:val>
          <c:smooth val="0"/>
          <c:extLst>
            <c:ext xmlns:c16="http://schemas.microsoft.com/office/drawing/2014/chart" uri="{C3380CC4-5D6E-409C-BE32-E72D297353CC}">
              <c16:uniqueId val="{00000004-40EE-42E7-8810-0CC1482A84BD}"/>
            </c:ext>
          </c:extLst>
        </c:ser>
        <c:dLbls>
          <c:showLegendKey val="0"/>
          <c:showVal val="0"/>
          <c:showCatName val="0"/>
          <c:showSerName val="0"/>
          <c:showPercent val="0"/>
          <c:showBubbleSize val="0"/>
        </c:dLbls>
        <c:marker val="1"/>
        <c:smooth val="0"/>
        <c:axId val="157092848"/>
        <c:axId val="157091888"/>
      </c:lineChart>
      <c:catAx>
        <c:axId val="1570928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91888"/>
        <c:crosses val="autoZero"/>
        <c:auto val="1"/>
        <c:lblAlgn val="ctr"/>
        <c:lblOffset val="100"/>
        <c:noMultiLvlLbl val="0"/>
      </c:catAx>
      <c:valAx>
        <c:axId val="157091888"/>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92848"/>
        <c:crosses val="autoZero"/>
        <c:crossBetween val="between"/>
      </c:valAx>
      <c:spPr>
        <a:noFill/>
        <a:ln>
          <a:noFill/>
        </a:ln>
        <a:effectLst/>
      </c:spPr>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[Cleaned_ElectroniTech_Manufacturing_Co._Dataset.xlsx]Workbook!PivotTable8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Shipment Status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7466534223576451E-2"/>
          <c:y val="0.39322162005070915"/>
          <c:w val="0.98253346577642353"/>
          <c:h val="0.48709702193067028"/>
        </c:manualLayout>
      </c:layout>
      <c:pie3DChart>
        <c:varyColors val="1"/>
        <c:ser>
          <c:idx val="0"/>
          <c:order val="0"/>
          <c:tx>
            <c:strRef>
              <c:f>Workbook!$C$131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14C-45A0-963B-211F8181435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14C-45A0-963B-211F8181435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Workbook!$B$132:$B$134</c:f>
              <c:strCache>
                <c:ptCount val="2"/>
                <c:pt idx="0">
                  <c:v>DELIVERED</c:v>
                </c:pt>
                <c:pt idx="1">
                  <c:v>NOT DELIVERED</c:v>
                </c:pt>
              </c:strCache>
            </c:strRef>
          </c:cat>
          <c:val>
            <c:numRef>
              <c:f>Workbook!$C$132:$C$134</c:f>
              <c:numCache>
                <c:formatCode>General</c:formatCode>
                <c:ptCount val="2"/>
                <c:pt idx="0">
                  <c:v>100</c:v>
                </c:pt>
                <c:pt idx="1">
                  <c:v>100</c:v>
                </c:pt>
              </c:numCache>
            </c:numRef>
          </c:val>
          <c:extLst>
            <c:ext xmlns:c16="http://schemas.microsoft.com/office/drawing/2014/chart" uri="{C3380CC4-5D6E-409C-BE32-E72D297353CC}">
              <c16:uniqueId val="{00000004-314C-45A0-963B-211F81814353}"/>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[Cleaned_ElectroniTech_Manufacturing_Co._Dataset.xlsx]Workbook!Top 10 Customers by Revenue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Customers by Revenue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532428851684557"/>
          <c:y val="0.33720325739631685"/>
          <c:w val="0.69853618765426972"/>
          <c:h val="0.50902036968796682"/>
        </c:manualLayout>
      </c:layout>
      <c:bar3DChart>
        <c:barDir val="bar"/>
        <c:grouping val="stacked"/>
        <c:varyColors val="0"/>
        <c:ser>
          <c:idx val="0"/>
          <c:order val="0"/>
          <c:tx>
            <c:strRef>
              <c:f>Workbook!$C$148</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Workbook!$B$149:$B$159</c:f>
              <c:strCache>
                <c:ptCount val="10"/>
                <c:pt idx="0">
                  <c:v>Catherine</c:v>
                </c:pt>
                <c:pt idx="1">
                  <c:v>Frank</c:v>
                </c:pt>
                <c:pt idx="2">
                  <c:v>Stacy</c:v>
                </c:pt>
                <c:pt idx="3">
                  <c:v>Rayshawn</c:v>
                </c:pt>
                <c:pt idx="4">
                  <c:v>Chasity</c:v>
                </c:pt>
                <c:pt idx="5">
                  <c:v>Claude</c:v>
                </c:pt>
                <c:pt idx="6">
                  <c:v>Philip</c:v>
                </c:pt>
                <c:pt idx="7">
                  <c:v>Eddie</c:v>
                </c:pt>
                <c:pt idx="8">
                  <c:v>Dejon</c:v>
                </c:pt>
                <c:pt idx="9">
                  <c:v>Tiffany</c:v>
                </c:pt>
              </c:strCache>
            </c:strRef>
          </c:cat>
          <c:val>
            <c:numRef>
              <c:f>Workbook!$C$149:$C$159</c:f>
              <c:numCache>
                <c:formatCode>General</c:formatCode>
                <c:ptCount val="10"/>
                <c:pt idx="0">
                  <c:v>227910</c:v>
                </c:pt>
                <c:pt idx="1">
                  <c:v>174415</c:v>
                </c:pt>
                <c:pt idx="2">
                  <c:v>147150</c:v>
                </c:pt>
                <c:pt idx="3">
                  <c:v>146752</c:v>
                </c:pt>
                <c:pt idx="4">
                  <c:v>137966</c:v>
                </c:pt>
                <c:pt idx="5">
                  <c:v>135685</c:v>
                </c:pt>
                <c:pt idx="6">
                  <c:v>135129</c:v>
                </c:pt>
                <c:pt idx="7">
                  <c:v>131564</c:v>
                </c:pt>
                <c:pt idx="8">
                  <c:v>129325</c:v>
                </c:pt>
                <c:pt idx="9">
                  <c:v>120071</c:v>
                </c:pt>
              </c:numCache>
            </c:numRef>
          </c:val>
          <c:extLst>
            <c:ext xmlns:c16="http://schemas.microsoft.com/office/drawing/2014/chart" uri="{C3380CC4-5D6E-409C-BE32-E72D297353CC}">
              <c16:uniqueId val="{00000000-F6FA-4CF0-BB27-36224CCC308C}"/>
            </c:ext>
          </c:extLst>
        </c:ser>
        <c:dLbls>
          <c:showLegendKey val="0"/>
          <c:showVal val="1"/>
          <c:showCatName val="0"/>
          <c:showSerName val="0"/>
          <c:showPercent val="0"/>
          <c:showBubbleSize val="0"/>
        </c:dLbls>
        <c:gapWidth val="150"/>
        <c:shape val="box"/>
        <c:axId val="1338639456"/>
        <c:axId val="1357265984"/>
        <c:axId val="0"/>
      </c:bar3DChart>
      <c:catAx>
        <c:axId val="133863945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265984"/>
        <c:crosses val="autoZero"/>
        <c:auto val="1"/>
        <c:lblAlgn val="ctr"/>
        <c:lblOffset val="100"/>
        <c:noMultiLvlLbl val="0"/>
      </c:catAx>
      <c:valAx>
        <c:axId val="1357265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63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[Cleaned_ElectroniTech_Manufacturing_Co._Dataset.xlsx]Workbook!Shipment Domain Distribution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Shipment Domain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054817116539968"/>
          <c:y val="0.35049053555687015"/>
          <c:w val="0.8191162704558016"/>
          <c:h val="0.41399630388566633"/>
        </c:manualLayout>
      </c:layout>
      <c:bar3DChart>
        <c:barDir val="col"/>
        <c:grouping val="stacked"/>
        <c:varyColors val="0"/>
        <c:ser>
          <c:idx val="0"/>
          <c:order val="0"/>
          <c:tx>
            <c:strRef>
              <c:f>Workbook!$C$163</c:f>
              <c:strCache>
                <c:ptCount val="1"/>
                <c:pt idx="0">
                  <c:v>Total</c:v>
                </c:pt>
              </c:strCache>
            </c:strRef>
          </c:tx>
          <c:spPr>
            <a:solidFill>
              <a:schemeClr val="accent1"/>
            </a:solidFill>
            <a:ln>
              <a:noFill/>
            </a:ln>
            <a:effectLst/>
            <a:sp3d/>
          </c:spPr>
          <c:invertIfNegative val="0"/>
          <c:cat>
            <c:strRef>
              <c:f>Workbook!$B$164:$B$166</c:f>
              <c:strCache>
                <c:ptCount val="2"/>
                <c:pt idx="0">
                  <c:v>Domestic</c:v>
                </c:pt>
                <c:pt idx="1">
                  <c:v>International</c:v>
                </c:pt>
              </c:strCache>
            </c:strRef>
          </c:cat>
          <c:val>
            <c:numRef>
              <c:f>Workbook!$C$164:$C$166</c:f>
              <c:numCache>
                <c:formatCode>General</c:formatCode>
                <c:ptCount val="2"/>
                <c:pt idx="0">
                  <c:v>109</c:v>
                </c:pt>
                <c:pt idx="1">
                  <c:v>91</c:v>
                </c:pt>
              </c:numCache>
            </c:numRef>
          </c:val>
          <c:extLst>
            <c:ext xmlns:c16="http://schemas.microsoft.com/office/drawing/2014/chart" uri="{C3380CC4-5D6E-409C-BE32-E72D297353CC}">
              <c16:uniqueId val="{00000000-1A04-434E-B21F-9E2672D67973}"/>
            </c:ext>
          </c:extLst>
        </c:ser>
        <c:dLbls>
          <c:showLegendKey val="0"/>
          <c:showVal val="0"/>
          <c:showCatName val="0"/>
          <c:showSerName val="0"/>
          <c:showPercent val="0"/>
          <c:showBubbleSize val="0"/>
        </c:dLbls>
        <c:gapWidth val="150"/>
        <c:shape val="box"/>
        <c:axId val="234516320"/>
        <c:axId val="234511520"/>
        <c:axId val="0"/>
      </c:bar3DChart>
      <c:catAx>
        <c:axId val="23451632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511520"/>
        <c:crosses val="autoZero"/>
        <c:auto val="1"/>
        <c:lblAlgn val="ctr"/>
        <c:lblOffset val="100"/>
        <c:noMultiLvlLbl val="0"/>
      </c:catAx>
      <c:valAx>
        <c:axId val="234511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51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[Cleaned_ElectroniTech_Manufacturing_Co._Dataset.xlsx]Workbook!Top 10 Customers by Revenue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Customers by Revenue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8495779851148745"/>
          <c:y val="0.26594181977252845"/>
          <c:w val="0.6446084115341747"/>
          <c:h val="0.60517891513560795"/>
        </c:manualLayout>
      </c:layout>
      <c:bar3DChart>
        <c:barDir val="bar"/>
        <c:grouping val="stacked"/>
        <c:varyColors val="0"/>
        <c:ser>
          <c:idx val="0"/>
          <c:order val="0"/>
          <c:tx>
            <c:strRef>
              <c:f>Workbook!$C$148</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Workbook!$B$149:$B$159</c:f>
              <c:strCache>
                <c:ptCount val="10"/>
                <c:pt idx="0">
                  <c:v>Catherine</c:v>
                </c:pt>
                <c:pt idx="1">
                  <c:v>Frank</c:v>
                </c:pt>
                <c:pt idx="2">
                  <c:v>Stacy</c:v>
                </c:pt>
                <c:pt idx="3">
                  <c:v>Rayshawn</c:v>
                </c:pt>
                <c:pt idx="4">
                  <c:v>Chasity</c:v>
                </c:pt>
                <c:pt idx="5">
                  <c:v>Claude</c:v>
                </c:pt>
                <c:pt idx="6">
                  <c:v>Philip</c:v>
                </c:pt>
                <c:pt idx="7">
                  <c:v>Eddie</c:v>
                </c:pt>
                <c:pt idx="8">
                  <c:v>Dejon</c:v>
                </c:pt>
                <c:pt idx="9">
                  <c:v>Tiffany</c:v>
                </c:pt>
              </c:strCache>
            </c:strRef>
          </c:cat>
          <c:val>
            <c:numRef>
              <c:f>Workbook!$C$149:$C$159</c:f>
              <c:numCache>
                <c:formatCode>General</c:formatCode>
                <c:ptCount val="10"/>
                <c:pt idx="0">
                  <c:v>227910</c:v>
                </c:pt>
                <c:pt idx="1">
                  <c:v>174415</c:v>
                </c:pt>
                <c:pt idx="2">
                  <c:v>147150</c:v>
                </c:pt>
                <c:pt idx="3">
                  <c:v>146752</c:v>
                </c:pt>
                <c:pt idx="4">
                  <c:v>137966</c:v>
                </c:pt>
                <c:pt idx="5">
                  <c:v>135685</c:v>
                </c:pt>
                <c:pt idx="6">
                  <c:v>135129</c:v>
                </c:pt>
                <c:pt idx="7">
                  <c:v>131564</c:v>
                </c:pt>
                <c:pt idx="8">
                  <c:v>129325</c:v>
                </c:pt>
                <c:pt idx="9">
                  <c:v>120071</c:v>
                </c:pt>
              </c:numCache>
            </c:numRef>
          </c:val>
          <c:extLst>
            <c:ext xmlns:c16="http://schemas.microsoft.com/office/drawing/2014/chart" uri="{C3380CC4-5D6E-409C-BE32-E72D297353CC}">
              <c16:uniqueId val="{00000000-F8B2-4EFB-9C4F-7B1BB36FE570}"/>
            </c:ext>
          </c:extLst>
        </c:ser>
        <c:dLbls>
          <c:showLegendKey val="0"/>
          <c:showVal val="1"/>
          <c:showCatName val="0"/>
          <c:showSerName val="0"/>
          <c:showPercent val="0"/>
          <c:showBubbleSize val="0"/>
        </c:dLbls>
        <c:gapWidth val="150"/>
        <c:shape val="box"/>
        <c:axId val="1338639456"/>
        <c:axId val="1357265984"/>
        <c:axId val="0"/>
      </c:bar3DChart>
      <c:catAx>
        <c:axId val="133863945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265984"/>
        <c:crosses val="autoZero"/>
        <c:auto val="1"/>
        <c:lblAlgn val="ctr"/>
        <c:lblOffset val="100"/>
        <c:noMultiLvlLbl val="0"/>
      </c:catAx>
      <c:valAx>
        <c:axId val="1357265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63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[Cleaned_ElectroniTech_Manufacturing_Co._Dataset.xlsx]Workbook!Revenue by Payment mode</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Payment 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8.2857142857142851E-2"/>
              <c:y val="-9.4323726269946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7.1428571428571383E-2"/>
              <c:y val="-8.25332604862035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Workbook!$C$90</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EFB1-4586-B258-B3C4E73B751F}"/>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0-EFB1-4586-B258-B3C4E73B751F}"/>
              </c:ext>
            </c:extLst>
          </c:dPt>
          <c:dLbls>
            <c:dLbl>
              <c:idx val="0"/>
              <c:layout>
                <c:manualLayout>
                  <c:x val="7.1428571428571383E-2"/>
                  <c:y val="-8.25332604862035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B1-4586-B258-B3C4E73B751F}"/>
                </c:ext>
              </c:extLst>
            </c:dLbl>
            <c:dLbl>
              <c:idx val="1"/>
              <c:layout>
                <c:manualLayout>
                  <c:x val="8.2857142857142851E-2"/>
                  <c:y val="-9.4323726269946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B1-4586-B258-B3C4E73B751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Workbook!$B$91:$B$93</c:f>
              <c:strCache>
                <c:ptCount val="2"/>
                <c:pt idx="0">
                  <c:v>CARD PAYMENT</c:v>
                </c:pt>
                <c:pt idx="1">
                  <c:v>COD</c:v>
                </c:pt>
              </c:strCache>
            </c:strRef>
          </c:cat>
          <c:val>
            <c:numRef>
              <c:f>Workbook!$C$91:$C$93</c:f>
              <c:numCache>
                <c:formatCode>0.00,,"M"</c:formatCode>
                <c:ptCount val="2"/>
                <c:pt idx="0">
                  <c:v>4233750</c:v>
                </c:pt>
                <c:pt idx="1">
                  <c:v>5255359</c:v>
                </c:pt>
              </c:numCache>
            </c:numRef>
          </c:val>
          <c:extLst>
            <c:ext xmlns:c16="http://schemas.microsoft.com/office/drawing/2014/chart" uri="{C3380CC4-5D6E-409C-BE32-E72D297353CC}">
              <c16:uniqueId val="{00000000-AB90-4470-8183-3A623CAA73CC}"/>
            </c:ext>
          </c:extLst>
        </c:ser>
        <c:dLbls>
          <c:showLegendKey val="0"/>
          <c:showVal val="1"/>
          <c:showCatName val="0"/>
          <c:showSerName val="0"/>
          <c:showPercent val="0"/>
          <c:showBubbleSize val="0"/>
        </c:dLbls>
        <c:gapWidth val="150"/>
        <c:shape val="box"/>
        <c:axId val="1341741616"/>
        <c:axId val="1341742096"/>
        <c:axId val="1481885088"/>
      </c:bar3DChart>
      <c:catAx>
        <c:axId val="134174161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742096"/>
        <c:crosses val="autoZero"/>
        <c:auto val="1"/>
        <c:lblAlgn val="ctr"/>
        <c:lblOffset val="100"/>
        <c:noMultiLvlLbl val="0"/>
      </c:catAx>
      <c:valAx>
        <c:axId val="1341742096"/>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741616"/>
        <c:crosses val="autoZero"/>
        <c:crossBetween val="between"/>
      </c:valAx>
      <c:serAx>
        <c:axId val="1481885088"/>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742096"/>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[Cleaned_ElectroniTech_Manufacturing_Co._Dataset.xlsx]Workbook!Monthly Revenue Trend</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Monthly Revenue Trend</a:t>
            </a:r>
          </a:p>
        </c:rich>
      </c:tx>
      <c:overlay val="0"/>
      <c:spPr>
        <a:noFill/>
        <a:ln>
          <a:noFill/>
        </a:ln>
        <a:effectLst/>
      </c:sp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elet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elete val="1"/>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elete val="1"/>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elete val="1"/>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elete val="1"/>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Workbook!$C$115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ln>
              <a:effectLst/>
            </c:spPr>
            <c:trendlineType val="linear"/>
            <c:dispRSqr val="0"/>
            <c:dispEq val="0"/>
          </c:trendline>
          <c:cat>
            <c:strRef>
              <c:f>Workbook!$B$116:$B$127</c:f>
              <c:strCache>
                <c:ptCount val="11"/>
                <c:pt idx="0">
                  <c:v>1</c:v>
                </c:pt>
                <c:pt idx="1">
                  <c:v>3</c:v>
                </c:pt>
                <c:pt idx="2">
                  <c:v>4</c:v>
                </c:pt>
                <c:pt idx="3">
                  <c:v>5</c:v>
                </c:pt>
                <c:pt idx="4">
                  <c:v>6</c:v>
                </c:pt>
                <c:pt idx="5">
                  <c:v>7</c:v>
                </c:pt>
                <c:pt idx="6">
                  <c:v>8</c:v>
                </c:pt>
                <c:pt idx="7">
                  <c:v>9</c:v>
                </c:pt>
                <c:pt idx="8">
                  <c:v>10</c:v>
                </c:pt>
                <c:pt idx="9">
                  <c:v>11</c:v>
                </c:pt>
                <c:pt idx="10">
                  <c:v>12</c:v>
                </c:pt>
              </c:strCache>
            </c:strRef>
          </c:cat>
          <c:val>
            <c:numRef>
              <c:f>Workbook!$C$116:$C$127</c:f>
              <c:numCache>
                <c:formatCode>0.00,,"M"</c:formatCode>
                <c:ptCount val="11"/>
                <c:pt idx="0">
                  <c:v>4905650</c:v>
                </c:pt>
                <c:pt idx="1">
                  <c:v>801079</c:v>
                </c:pt>
                <c:pt idx="2">
                  <c:v>35150</c:v>
                </c:pt>
                <c:pt idx="3">
                  <c:v>242397</c:v>
                </c:pt>
                <c:pt idx="4">
                  <c:v>213509</c:v>
                </c:pt>
                <c:pt idx="5">
                  <c:v>461015</c:v>
                </c:pt>
                <c:pt idx="6">
                  <c:v>787157</c:v>
                </c:pt>
                <c:pt idx="7">
                  <c:v>892625</c:v>
                </c:pt>
                <c:pt idx="8">
                  <c:v>387587</c:v>
                </c:pt>
                <c:pt idx="9">
                  <c:v>543208</c:v>
                </c:pt>
                <c:pt idx="10">
                  <c:v>219732</c:v>
                </c:pt>
              </c:numCache>
            </c:numRef>
          </c:val>
          <c:smooth val="0"/>
          <c:extLst>
            <c:ext xmlns:c16="http://schemas.microsoft.com/office/drawing/2014/chart" uri="{C3380CC4-5D6E-409C-BE32-E72D297353CC}">
              <c16:uniqueId val="{00000001-9300-4508-8B80-0E09100F093D}"/>
            </c:ext>
          </c:extLst>
        </c:ser>
        <c:dLbls>
          <c:showLegendKey val="0"/>
          <c:showVal val="0"/>
          <c:showCatName val="0"/>
          <c:showSerName val="0"/>
          <c:showPercent val="0"/>
          <c:showBubbleSize val="0"/>
        </c:dLbls>
        <c:marker val="1"/>
        <c:smooth val="0"/>
        <c:axId val="157092848"/>
        <c:axId val="157091888"/>
      </c:lineChart>
      <c:catAx>
        <c:axId val="1570928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91888"/>
        <c:crosses val="autoZero"/>
        <c:auto val="1"/>
        <c:lblAlgn val="ctr"/>
        <c:lblOffset val="100"/>
        <c:noMultiLvlLbl val="0"/>
      </c:catAx>
      <c:valAx>
        <c:axId val="157091888"/>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92848"/>
        <c:crosses val="autoZero"/>
        <c:crossBetween val="between"/>
      </c:valAx>
      <c:spPr>
        <a:noFill/>
        <a:ln>
          <a:noFill/>
        </a:ln>
        <a:effectLst/>
      </c:spPr>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[Cleaned_ElectroniTech_Manufacturing_Co._Dataset.xlsx]Workbook!Customer Type Distribution</c:name>
    <c:fmtId val="6"/>
  </c:pivotSource>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IN"/>
              <a:t>Customer Type Distribution</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circle"/>
          <c:size val="6"/>
        </c:marke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Lst>
        </c:dLbl>
      </c:pivotFmt>
      <c:pivotFmt>
        <c:idx val="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15:xForSave val="1"/>
            </c:ext>
          </c:extLst>
        </c:dLbl>
      </c:pivotFmt>
      <c:pivotFmt>
        <c:idx val="2"/>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15:xForSave val="1"/>
            </c:ext>
          </c:extLst>
        </c:dLbl>
      </c:pivotFmt>
      <c:pivotFmt>
        <c:idx val="3"/>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15:xForSave val="1"/>
            </c:ext>
          </c:extLst>
        </c:dLbl>
      </c:pivotFmt>
      <c:pivotFmt>
        <c:idx val="4"/>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Lst>
        </c:dLbl>
      </c:pivotFmt>
      <c:pivotFmt>
        <c:idx val="5"/>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Lst>
        </c:dLbl>
      </c:pivotFmt>
      <c:pivotFmt>
        <c:idx val="6"/>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Lst>
        </c:dLbl>
      </c:pivotFmt>
      <c:pivotFmt>
        <c:idx val="7"/>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Lst>
        </c:dLbl>
      </c:pivotFmt>
      <c:pivotFmt>
        <c:idx val="8"/>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Lst>
        </c:dLbl>
      </c:pivotFmt>
      <c:pivotFmt>
        <c:idx val="9"/>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Lst>
        </c:dLbl>
      </c:pivotFmt>
      <c:pivotFmt>
        <c:idx val="1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Lst>
        </c:dLbl>
      </c:pivotFmt>
      <c:pivotFmt>
        <c:idx val="1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Workbook!$C$188</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0E22-4681-B1D3-3E690FECBDC4}"/>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0E22-4681-B1D3-3E690FECBDC4}"/>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5-0E22-4681-B1D3-3E690FECBDC4}"/>
              </c:ext>
            </c:extLst>
          </c:dPt>
          <c:dLbls>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 xmlns:c16="http://schemas.microsoft.com/office/drawing/2014/chart" uri="{C3380CC4-5D6E-409C-BE32-E72D297353CC}">
                  <c16:uniqueId val="{00000001-0E22-4681-B1D3-3E690FECBDC4}"/>
                </c:ext>
              </c:extLst>
            </c:dLbl>
            <c:dLbl>
              <c:idx val="1"/>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 xmlns:c16="http://schemas.microsoft.com/office/drawing/2014/chart" uri="{C3380CC4-5D6E-409C-BE32-E72D297353CC}">
                  <c16:uniqueId val="{00000003-0E22-4681-B1D3-3E690FECBDC4}"/>
                </c:ext>
              </c:extLst>
            </c:dLbl>
            <c:dLbl>
              <c:idx val="2"/>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 xmlns:c16="http://schemas.microsoft.com/office/drawing/2014/chart" uri="{C3380CC4-5D6E-409C-BE32-E72D297353CC}">
                  <c16:uniqueId val="{00000005-0E22-4681-B1D3-3E690FECBDC4}"/>
                </c:ext>
              </c:extLst>
            </c:dLbl>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Lst>
          </c:dLbls>
          <c:cat>
            <c:strRef>
              <c:f>Workbook!$B$189:$B$192</c:f>
              <c:strCache>
                <c:ptCount val="3"/>
                <c:pt idx="0">
                  <c:v>Internal Goods</c:v>
                </c:pt>
                <c:pt idx="1">
                  <c:v>Retail</c:v>
                </c:pt>
                <c:pt idx="2">
                  <c:v>Wholesale</c:v>
                </c:pt>
              </c:strCache>
            </c:strRef>
          </c:cat>
          <c:val>
            <c:numRef>
              <c:f>Workbook!$C$189:$C$192</c:f>
              <c:numCache>
                <c:formatCode>General</c:formatCode>
                <c:ptCount val="3"/>
                <c:pt idx="0">
                  <c:v>68</c:v>
                </c:pt>
                <c:pt idx="1">
                  <c:v>78</c:v>
                </c:pt>
                <c:pt idx="2">
                  <c:v>54</c:v>
                </c:pt>
              </c:numCache>
            </c:numRef>
          </c:val>
          <c:extLst>
            <c:ext xmlns:c16="http://schemas.microsoft.com/office/drawing/2014/chart" uri="{C3380CC4-5D6E-409C-BE32-E72D297353CC}">
              <c16:uniqueId val="{00000006-0E22-4681-B1D3-3E690FECBDC4}"/>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[Cleaned_ElectroniTech_Manufacturing_Co._Dataset.xlsx]Workbook!PivotTable8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Shipment Status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36515425173666849"/>
          <c:w val="1"/>
          <c:h val="0.59234965310832299"/>
        </c:manualLayout>
      </c:layout>
      <c:pie3DChart>
        <c:varyColors val="1"/>
        <c:ser>
          <c:idx val="0"/>
          <c:order val="0"/>
          <c:tx>
            <c:strRef>
              <c:f>Workbook!$C$131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198-4EEF-A74F-4CE5691763F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198-4EEF-A74F-4CE5691763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Workbook!$B$132:$B$134</c:f>
              <c:strCache>
                <c:ptCount val="2"/>
                <c:pt idx="0">
                  <c:v>DELIVERED</c:v>
                </c:pt>
                <c:pt idx="1">
                  <c:v>NOT DELIVERED</c:v>
                </c:pt>
              </c:strCache>
            </c:strRef>
          </c:cat>
          <c:val>
            <c:numRef>
              <c:f>Workbook!$C$132:$C$134</c:f>
              <c:numCache>
                <c:formatCode>General</c:formatCode>
                <c:ptCount val="2"/>
                <c:pt idx="0">
                  <c:v>100</c:v>
                </c:pt>
                <c:pt idx="1">
                  <c:v>100</c:v>
                </c:pt>
              </c:numCache>
            </c:numRef>
          </c:val>
          <c:extLst>
            <c:ext xmlns:c16="http://schemas.microsoft.com/office/drawing/2014/chart" uri="{C3380CC4-5D6E-409C-BE32-E72D297353CC}">
              <c16:uniqueId val="{00000004-4198-4EEF-A74F-4CE5691763FA}"/>
            </c:ext>
          </c:extLst>
        </c:ser>
        <c:dLbls>
          <c:dLblPos val="bestFit"/>
          <c:showLegendKey val="0"/>
          <c:showVal val="1"/>
          <c:showCatName val="0"/>
          <c:showSerName val="0"/>
          <c:showPercent val="0"/>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[Cleaned_ElectroniTech_Manufacturing_Co._Dataset.xlsx]Workbook!Shipment Domain Distribution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Shipment Domain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054817116539968"/>
          <c:y val="0.35049053555687015"/>
          <c:w val="0.8191162704558016"/>
          <c:h val="0.41399630388566633"/>
        </c:manualLayout>
      </c:layout>
      <c:bar3DChart>
        <c:barDir val="col"/>
        <c:grouping val="stacked"/>
        <c:varyColors val="0"/>
        <c:ser>
          <c:idx val="0"/>
          <c:order val="0"/>
          <c:tx>
            <c:strRef>
              <c:f>Workbook!$C$163</c:f>
              <c:strCache>
                <c:ptCount val="1"/>
                <c:pt idx="0">
                  <c:v>Total</c:v>
                </c:pt>
              </c:strCache>
            </c:strRef>
          </c:tx>
          <c:spPr>
            <a:solidFill>
              <a:schemeClr val="accent1"/>
            </a:solidFill>
            <a:ln>
              <a:noFill/>
            </a:ln>
            <a:effectLst/>
            <a:sp3d/>
          </c:spPr>
          <c:invertIfNegative val="0"/>
          <c:cat>
            <c:strRef>
              <c:f>Workbook!$B$164:$B$166</c:f>
              <c:strCache>
                <c:ptCount val="2"/>
                <c:pt idx="0">
                  <c:v>Domestic</c:v>
                </c:pt>
                <c:pt idx="1">
                  <c:v>International</c:v>
                </c:pt>
              </c:strCache>
            </c:strRef>
          </c:cat>
          <c:val>
            <c:numRef>
              <c:f>Workbook!$C$164:$C$166</c:f>
              <c:numCache>
                <c:formatCode>General</c:formatCode>
                <c:ptCount val="2"/>
                <c:pt idx="0">
                  <c:v>109</c:v>
                </c:pt>
                <c:pt idx="1">
                  <c:v>91</c:v>
                </c:pt>
              </c:numCache>
            </c:numRef>
          </c:val>
          <c:extLst>
            <c:ext xmlns:c16="http://schemas.microsoft.com/office/drawing/2014/chart" uri="{C3380CC4-5D6E-409C-BE32-E72D297353CC}">
              <c16:uniqueId val="{00000000-21E2-4BD2-A08D-3A2B19EF8BD3}"/>
            </c:ext>
          </c:extLst>
        </c:ser>
        <c:dLbls>
          <c:showLegendKey val="0"/>
          <c:showVal val="0"/>
          <c:showCatName val="0"/>
          <c:showSerName val="0"/>
          <c:showPercent val="0"/>
          <c:showBubbleSize val="0"/>
        </c:dLbls>
        <c:gapWidth val="150"/>
        <c:shape val="box"/>
        <c:axId val="234516320"/>
        <c:axId val="234511520"/>
        <c:axId val="0"/>
      </c:bar3DChart>
      <c:catAx>
        <c:axId val="23451632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511520"/>
        <c:crosses val="autoZero"/>
        <c:auto val="1"/>
        <c:lblAlgn val="ctr"/>
        <c:lblOffset val="100"/>
        <c:noMultiLvlLbl val="0"/>
      </c:catAx>
      <c:valAx>
        <c:axId val="234511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51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[Cleaned_ElectroniTech_Manufacturing_Co._Dataset.xlsx]Workbook!PivotTable6</c:name>
    <c:fmtId val="6"/>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Delivery Status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23403324584424"/>
          <c:y val="0.27458114610673667"/>
          <c:w val="0.62980293088363959"/>
          <c:h val="0.61801946631671045"/>
        </c:manualLayout>
      </c:layout>
      <c:barChart>
        <c:barDir val="bar"/>
        <c:grouping val="clustered"/>
        <c:varyColors val="0"/>
        <c:ser>
          <c:idx val="0"/>
          <c:order val="0"/>
          <c:tx>
            <c:strRef>
              <c:f>Workbook!$C$202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Workbook!$B$203:$B$207</c:f>
              <c:strCache>
                <c:ptCount val="4"/>
                <c:pt idx="0">
                  <c:v>Delayed</c:v>
                </c:pt>
                <c:pt idx="1">
                  <c:v>Fast</c:v>
                </c:pt>
                <c:pt idx="2">
                  <c:v>Invalid</c:v>
                </c:pt>
                <c:pt idx="3">
                  <c:v>Normal</c:v>
                </c:pt>
              </c:strCache>
            </c:strRef>
          </c:cat>
          <c:val>
            <c:numRef>
              <c:f>Workbook!$C$203:$C$207</c:f>
              <c:numCache>
                <c:formatCode>General</c:formatCode>
                <c:ptCount val="4"/>
                <c:pt idx="0">
                  <c:v>172</c:v>
                </c:pt>
                <c:pt idx="1">
                  <c:v>5</c:v>
                </c:pt>
                <c:pt idx="2">
                  <c:v>12</c:v>
                </c:pt>
                <c:pt idx="3">
                  <c:v>11</c:v>
                </c:pt>
              </c:numCache>
            </c:numRef>
          </c:val>
          <c:extLst>
            <c:ext xmlns:c16="http://schemas.microsoft.com/office/drawing/2014/chart" uri="{C3380CC4-5D6E-409C-BE32-E72D297353CC}">
              <c16:uniqueId val="{00000000-B60D-4E84-9512-BAAA9BB633A2}"/>
            </c:ext>
          </c:extLst>
        </c:ser>
        <c:dLbls>
          <c:dLblPos val="outEnd"/>
          <c:showLegendKey val="0"/>
          <c:showVal val="1"/>
          <c:showCatName val="0"/>
          <c:showSerName val="0"/>
          <c:showPercent val="0"/>
          <c:showBubbleSize val="0"/>
        </c:dLbls>
        <c:gapWidth val="247"/>
        <c:axId val="1524516399"/>
        <c:axId val="1524514959"/>
      </c:barChart>
      <c:catAx>
        <c:axId val="152451639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524514959"/>
        <c:crosses val="autoZero"/>
        <c:auto val="1"/>
        <c:lblAlgn val="ctr"/>
        <c:lblOffset val="100"/>
        <c:noMultiLvlLbl val="0"/>
      </c:catAx>
      <c:valAx>
        <c:axId val="1524514959"/>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524516399"/>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[Cleaned_ElectroniTech_Manufacturing_Co._Dataset.xlsx]Workbook!Average Shiping weight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Shipment Weight per Shipment Content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0250869400902164"/>
          <c:y val="0.28985488052525543"/>
          <c:w val="0.61264991314658979"/>
          <c:h val="0.591907261592301"/>
        </c:manualLayout>
      </c:layout>
      <c:bar3DChart>
        <c:barDir val="bar"/>
        <c:grouping val="clustered"/>
        <c:varyColors val="0"/>
        <c:ser>
          <c:idx val="0"/>
          <c:order val="0"/>
          <c:tx>
            <c:strRef>
              <c:f>Workbook!$C$320</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Workbook!$B$321:$B$332</c:f>
              <c:strCache>
                <c:ptCount val="11"/>
                <c:pt idx="0">
                  <c:v>Food and Beverages</c:v>
                </c:pt>
                <c:pt idx="1">
                  <c:v>Automotive</c:v>
                </c:pt>
                <c:pt idx="2">
                  <c:v>Hazardous Goods</c:v>
                </c:pt>
                <c:pt idx="3">
                  <c:v>Arts and crafts</c:v>
                </c:pt>
                <c:pt idx="4">
                  <c:v>Home Furnishing</c:v>
                </c:pt>
                <c:pt idx="5">
                  <c:v>Industrial Equipments</c:v>
                </c:pt>
                <c:pt idx="6">
                  <c:v>Electronics</c:v>
                </c:pt>
                <c:pt idx="7">
                  <c:v>Construction</c:v>
                </c:pt>
                <c:pt idx="8">
                  <c:v>Healthcare</c:v>
                </c:pt>
                <c:pt idx="9">
                  <c:v>Luggage</c:v>
                </c:pt>
                <c:pt idx="10">
                  <c:v>Fashion</c:v>
                </c:pt>
              </c:strCache>
            </c:strRef>
          </c:cat>
          <c:val>
            <c:numRef>
              <c:f>Workbook!$C$321:$C$332</c:f>
              <c:numCache>
                <c:formatCode>0.00</c:formatCode>
                <c:ptCount val="11"/>
                <c:pt idx="0">
                  <c:v>428.85714285714283</c:v>
                </c:pt>
                <c:pt idx="1">
                  <c:v>447.23529411764707</c:v>
                </c:pt>
                <c:pt idx="2">
                  <c:v>452.76470588235293</c:v>
                </c:pt>
                <c:pt idx="3">
                  <c:v>478.63636363636363</c:v>
                </c:pt>
                <c:pt idx="4">
                  <c:v>491.40909090909093</c:v>
                </c:pt>
                <c:pt idx="5">
                  <c:v>512.26315789473688</c:v>
                </c:pt>
                <c:pt idx="6">
                  <c:v>517.38888888888891</c:v>
                </c:pt>
                <c:pt idx="7">
                  <c:v>570.61904761904759</c:v>
                </c:pt>
                <c:pt idx="8">
                  <c:v>588.375</c:v>
                </c:pt>
                <c:pt idx="9">
                  <c:v>605.42857142857144</c:v>
                </c:pt>
                <c:pt idx="10">
                  <c:v>661.61538461538464</c:v>
                </c:pt>
              </c:numCache>
            </c:numRef>
          </c:val>
          <c:extLst>
            <c:ext xmlns:c16="http://schemas.microsoft.com/office/drawing/2014/chart" uri="{C3380CC4-5D6E-409C-BE32-E72D297353CC}">
              <c16:uniqueId val="{00000000-823B-4D20-9F89-AA8A34DB7AB2}"/>
            </c:ext>
          </c:extLst>
        </c:ser>
        <c:dLbls>
          <c:showLegendKey val="0"/>
          <c:showVal val="1"/>
          <c:showCatName val="0"/>
          <c:showSerName val="0"/>
          <c:showPercent val="0"/>
          <c:showBubbleSize val="0"/>
        </c:dLbls>
        <c:gapWidth val="150"/>
        <c:shape val="box"/>
        <c:axId val="1385992239"/>
        <c:axId val="1385992719"/>
        <c:axId val="0"/>
      </c:bar3DChart>
      <c:catAx>
        <c:axId val="1385992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992719"/>
        <c:crosses val="autoZero"/>
        <c:auto val="1"/>
        <c:lblAlgn val="ctr"/>
        <c:lblOffset val="100"/>
        <c:noMultiLvlLbl val="0"/>
      </c:catAx>
      <c:valAx>
        <c:axId val="138599271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992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[Cleaned_ElectroniTech_Manufacturing_Co._Dataset.xlsx]Workbook!PivotTable15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Weight &amp; Charges Per Shipment Domain</a:t>
            </a:r>
            <a:endParaRPr lang="en-IN"/>
          </a:p>
        </c:rich>
      </c:tx>
      <c:layout>
        <c:manualLayout>
          <c:xMode val="edge"/>
          <c:yMode val="edge"/>
          <c:x val="0.18448275862068966"/>
          <c:y val="0.10900664443971531"/>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7.4962518740629225E-3"/>
              <c:y val="0.110110110110110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1.2493753123438235E-2"/>
              <c:y val="0.10510510510510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Workbook!$C$336</c:f>
              <c:strCache>
                <c:ptCount val="1"/>
                <c:pt idx="0">
                  <c:v>Average of Shipment_Weight</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3-05F1-4665-97DE-C97F4D03FC15}"/>
              </c:ext>
            </c:extLst>
          </c:dPt>
          <c:dPt>
            <c:idx val="1"/>
            <c:invertIfNegative val="0"/>
            <c:bubble3D val="0"/>
            <c:extLst>
              <c:ext xmlns:c16="http://schemas.microsoft.com/office/drawing/2014/chart" uri="{C3380CC4-5D6E-409C-BE32-E72D297353CC}">
                <c16:uniqueId val="{00000002-05F1-4665-97DE-C97F4D03FC15}"/>
              </c:ext>
            </c:extLst>
          </c:dPt>
          <c:dLbls>
            <c:dLbl>
              <c:idx val="0"/>
              <c:layout>
                <c:manualLayout>
                  <c:x val="1.2493753123438235E-2"/>
                  <c:y val="0.105105105105105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5F1-4665-97DE-C97F4D03FC15}"/>
                </c:ext>
              </c:extLst>
            </c:dLbl>
            <c:dLbl>
              <c:idx val="1"/>
              <c:layout>
                <c:manualLayout>
                  <c:x val="7.4962518740629225E-3"/>
                  <c:y val="0.110110110110110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5F1-4665-97DE-C97F4D03FC1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Workbook!$B$337:$B$339</c:f>
              <c:strCache>
                <c:ptCount val="2"/>
                <c:pt idx="0">
                  <c:v>Domestic</c:v>
                </c:pt>
                <c:pt idx="1">
                  <c:v>International</c:v>
                </c:pt>
              </c:strCache>
            </c:strRef>
          </c:cat>
          <c:val>
            <c:numRef>
              <c:f>Workbook!$C$337:$C$339</c:f>
              <c:numCache>
                <c:formatCode>0.00</c:formatCode>
                <c:ptCount val="2"/>
                <c:pt idx="0">
                  <c:v>535.27522935779814</c:v>
                </c:pt>
                <c:pt idx="1">
                  <c:v>506.13186813186815</c:v>
                </c:pt>
              </c:numCache>
            </c:numRef>
          </c:val>
          <c:extLst>
            <c:ext xmlns:c16="http://schemas.microsoft.com/office/drawing/2014/chart" uri="{C3380CC4-5D6E-409C-BE32-E72D297353CC}">
              <c16:uniqueId val="{00000000-05F1-4665-97DE-C97F4D03FC15}"/>
            </c:ext>
          </c:extLst>
        </c:ser>
        <c:ser>
          <c:idx val="1"/>
          <c:order val="1"/>
          <c:tx>
            <c:strRef>
              <c:f>Workbook!$D$336</c:f>
              <c:strCache>
                <c:ptCount val="1"/>
                <c:pt idx="0">
                  <c:v>Average of Shipment_Charges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Workbook!$B$337:$B$339</c:f>
              <c:strCache>
                <c:ptCount val="2"/>
                <c:pt idx="0">
                  <c:v>Domestic</c:v>
                </c:pt>
                <c:pt idx="1">
                  <c:v>International</c:v>
                </c:pt>
              </c:strCache>
            </c:strRef>
          </c:cat>
          <c:val>
            <c:numRef>
              <c:f>Workbook!$D$337:$D$339</c:f>
              <c:numCache>
                <c:formatCode>0.00</c:formatCode>
                <c:ptCount val="2"/>
                <c:pt idx="0">
                  <c:v>936.11926605504584</c:v>
                </c:pt>
                <c:pt idx="1">
                  <c:v>940.1868131868132</c:v>
                </c:pt>
              </c:numCache>
            </c:numRef>
          </c:val>
          <c:extLst>
            <c:ext xmlns:c16="http://schemas.microsoft.com/office/drawing/2014/chart" uri="{C3380CC4-5D6E-409C-BE32-E72D297353CC}">
              <c16:uniqueId val="{00000001-05F1-4665-97DE-C97F4D03FC15}"/>
            </c:ext>
          </c:extLst>
        </c:ser>
        <c:dLbls>
          <c:showLegendKey val="0"/>
          <c:showVal val="1"/>
          <c:showCatName val="0"/>
          <c:showSerName val="0"/>
          <c:showPercent val="0"/>
          <c:showBubbleSize val="0"/>
        </c:dLbls>
        <c:gapWidth val="150"/>
        <c:shape val="box"/>
        <c:axId val="1385994639"/>
        <c:axId val="1385998959"/>
        <c:axId val="1646984575"/>
      </c:bar3DChart>
      <c:catAx>
        <c:axId val="13859946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998959"/>
        <c:crosses val="autoZero"/>
        <c:auto val="1"/>
        <c:lblAlgn val="ctr"/>
        <c:lblOffset val="100"/>
        <c:noMultiLvlLbl val="0"/>
      </c:catAx>
      <c:valAx>
        <c:axId val="13859989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994639"/>
        <c:crosses val="autoZero"/>
        <c:crossBetween val="between"/>
      </c:valAx>
      <c:serAx>
        <c:axId val="1646984575"/>
        <c:scaling>
          <c:orientation val="minMax"/>
        </c:scaling>
        <c:delete val="1"/>
        <c:axPos val="b"/>
        <c:majorTickMark val="none"/>
        <c:minorTickMark val="none"/>
        <c:tickLblPos val="nextTo"/>
        <c:crossAx val="138599895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[Cleaned_ElectroniTech_Manufacturing_Co._Dataset.xlsx]Workbook!PivotTable9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Shipment Per Employee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Workbook!$C$235</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Workbook!$B$236:$B$259</c:f>
              <c:strCache>
                <c:ptCount val="23"/>
                <c:pt idx="0">
                  <c:v>Bryce</c:v>
                </c:pt>
                <c:pt idx="1">
                  <c:v>Robert</c:v>
                </c:pt>
                <c:pt idx="2">
                  <c:v>Alexia</c:v>
                </c:pt>
                <c:pt idx="3">
                  <c:v>Stanley</c:v>
                </c:pt>
                <c:pt idx="4">
                  <c:v>Anne</c:v>
                </c:pt>
                <c:pt idx="5">
                  <c:v>Ramona</c:v>
                </c:pt>
                <c:pt idx="6">
                  <c:v>Benita</c:v>
                </c:pt>
                <c:pt idx="7">
                  <c:v>Ryker</c:v>
                </c:pt>
                <c:pt idx="8">
                  <c:v>Beth</c:v>
                </c:pt>
                <c:pt idx="9">
                  <c:v>Jan</c:v>
                </c:pt>
                <c:pt idx="10">
                  <c:v>Jensen</c:v>
                </c:pt>
                <c:pt idx="11">
                  <c:v>Kaitlyn</c:v>
                </c:pt>
                <c:pt idx="12">
                  <c:v>Kelly</c:v>
                </c:pt>
                <c:pt idx="13">
                  <c:v>Clay</c:v>
                </c:pt>
                <c:pt idx="14">
                  <c:v>Rayburn</c:v>
                </c:pt>
                <c:pt idx="15">
                  <c:v>David</c:v>
                </c:pt>
                <c:pt idx="16">
                  <c:v>Ryan</c:v>
                </c:pt>
                <c:pt idx="17">
                  <c:v>Dawn</c:v>
                </c:pt>
                <c:pt idx="18">
                  <c:v>Scott</c:v>
                </c:pt>
                <c:pt idx="19">
                  <c:v>Ericka</c:v>
                </c:pt>
                <c:pt idx="20">
                  <c:v>Tiffani</c:v>
                </c:pt>
                <c:pt idx="21">
                  <c:v>Harriette</c:v>
                </c:pt>
                <c:pt idx="22">
                  <c:v>Jalen</c:v>
                </c:pt>
              </c:strCache>
            </c:strRef>
          </c:cat>
          <c:val>
            <c:numRef>
              <c:f>Workbook!$C$236:$C$259</c:f>
              <c:numCache>
                <c:formatCode>General</c:formatCode>
                <c:ptCount val="23"/>
                <c:pt idx="0">
                  <c:v>3</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2</c:v>
                </c:pt>
                <c:pt idx="17">
                  <c:v>2</c:v>
                </c:pt>
                <c:pt idx="18">
                  <c:v>2</c:v>
                </c:pt>
                <c:pt idx="19">
                  <c:v>2</c:v>
                </c:pt>
                <c:pt idx="20">
                  <c:v>2</c:v>
                </c:pt>
                <c:pt idx="21">
                  <c:v>2</c:v>
                </c:pt>
                <c:pt idx="22">
                  <c:v>2</c:v>
                </c:pt>
              </c:numCache>
            </c:numRef>
          </c:val>
          <c:extLst>
            <c:ext xmlns:c16="http://schemas.microsoft.com/office/drawing/2014/chart" uri="{C3380CC4-5D6E-409C-BE32-E72D297353CC}">
              <c16:uniqueId val="{00000000-97BB-4EE6-AF95-121A0D231D26}"/>
            </c:ext>
          </c:extLst>
        </c:ser>
        <c:dLbls>
          <c:showLegendKey val="0"/>
          <c:showVal val="1"/>
          <c:showCatName val="0"/>
          <c:showSerName val="0"/>
          <c:showPercent val="0"/>
          <c:showBubbleSize val="0"/>
        </c:dLbls>
        <c:gapWidth val="150"/>
        <c:shape val="box"/>
        <c:axId val="1778852095"/>
        <c:axId val="1778847775"/>
        <c:axId val="0"/>
      </c:bar3DChart>
      <c:catAx>
        <c:axId val="17788520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847775"/>
        <c:crosses val="autoZero"/>
        <c:auto val="1"/>
        <c:lblAlgn val="ctr"/>
        <c:lblOffset val="100"/>
        <c:noMultiLvlLbl val="0"/>
      </c:catAx>
      <c:valAx>
        <c:axId val="1778847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852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[Cleaned_ElectroniTech_Manufacturing_Co._Dataset.xlsx]Workbook!PivotTable12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Branch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917825896762904"/>
          <c:y val="0.21235892388451444"/>
          <c:w val="0.77759951881014866"/>
          <c:h val="0.68024168853893263"/>
        </c:manualLayout>
      </c:layout>
      <c:bar3DChart>
        <c:barDir val="bar"/>
        <c:grouping val="clustered"/>
        <c:varyColors val="0"/>
        <c:ser>
          <c:idx val="0"/>
          <c:order val="0"/>
          <c:tx>
            <c:strRef>
              <c:f>Workbook!$C$264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Workbook!$B$265:$B$275</c:f>
              <c:strCache>
                <c:ptCount val="10"/>
                <c:pt idx="0">
                  <c:v>TX</c:v>
                </c:pt>
                <c:pt idx="1">
                  <c:v>NY</c:v>
                </c:pt>
                <c:pt idx="2">
                  <c:v>IL</c:v>
                </c:pt>
                <c:pt idx="3">
                  <c:v>OH</c:v>
                </c:pt>
                <c:pt idx="4">
                  <c:v>CA</c:v>
                </c:pt>
                <c:pt idx="5">
                  <c:v>MA</c:v>
                </c:pt>
                <c:pt idx="6">
                  <c:v>MO</c:v>
                </c:pt>
                <c:pt idx="7">
                  <c:v>VA</c:v>
                </c:pt>
                <c:pt idx="8">
                  <c:v>CT</c:v>
                </c:pt>
                <c:pt idx="9">
                  <c:v>NC</c:v>
                </c:pt>
              </c:strCache>
            </c:strRef>
          </c:cat>
          <c:val>
            <c:numRef>
              <c:f>Workbook!$C$265:$C$275</c:f>
              <c:numCache>
                <c:formatCode>General</c:formatCode>
                <c:ptCount val="10"/>
                <c:pt idx="0">
                  <c:v>14</c:v>
                </c:pt>
                <c:pt idx="1">
                  <c:v>13</c:v>
                </c:pt>
                <c:pt idx="2">
                  <c:v>12</c:v>
                </c:pt>
                <c:pt idx="3">
                  <c:v>11</c:v>
                </c:pt>
                <c:pt idx="4">
                  <c:v>11</c:v>
                </c:pt>
                <c:pt idx="5">
                  <c:v>9</c:v>
                </c:pt>
                <c:pt idx="6">
                  <c:v>8</c:v>
                </c:pt>
                <c:pt idx="7">
                  <c:v>8</c:v>
                </c:pt>
                <c:pt idx="8">
                  <c:v>7</c:v>
                </c:pt>
                <c:pt idx="9">
                  <c:v>7</c:v>
                </c:pt>
              </c:numCache>
            </c:numRef>
          </c:val>
          <c:extLst>
            <c:ext xmlns:c16="http://schemas.microsoft.com/office/drawing/2014/chart" uri="{C3380CC4-5D6E-409C-BE32-E72D297353CC}">
              <c16:uniqueId val="{00000000-0F61-4A81-A103-B4D582FE9D72}"/>
            </c:ext>
          </c:extLst>
        </c:ser>
        <c:dLbls>
          <c:showLegendKey val="0"/>
          <c:showVal val="1"/>
          <c:showCatName val="0"/>
          <c:showSerName val="0"/>
          <c:showPercent val="0"/>
          <c:showBubbleSize val="0"/>
        </c:dLbls>
        <c:gapWidth val="150"/>
        <c:shape val="box"/>
        <c:axId val="595549935"/>
        <c:axId val="595550415"/>
        <c:axId val="0"/>
      </c:bar3DChart>
      <c:catAx>
        <c:axId val="595549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550415"/>
        <c:crosses val="autoZero"/>
        <c:auto val="1"/>
        <c:lblAlgn val="ctr"/>
        <c:lblOffset val="100"/>
        <c:noMultiLvlLbl val="0"/>
      </c:catAx>
      <c:valAx>
        <c:axId val="5955504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54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[Cleaned_ElectroniTech_Manufacturing_Co._Dataset.xlsx]Workbook!PivotTable13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Designation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Workbook!$C$286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Workbook!$B$287:$B$314</c:f>
              <c:strCache>
                <c:ptCount val="27"/>
                <c:pt idx="0">
                  <c:v>Delivery Boy</c:v>
                </c:pt>
                <c:pt idx="1">
                  <c:v>Market analyst</c:v>
                </c:pt>
                <c:pt idx="2">
                  <c:v>Office manager</c:v>
                </c:pt>
                <c:pt idx="3">
                  <c:v>Transport manager</c:v>
                </c:pt>
                <c:pt idx="4">
                  <c:v>Project director</c:v>
                </c:pt>
                <c:pt idx="5">
                  <c:v>IT support executive</c:v>
                </c:pt>
                <c:pt idx="6">
                  <c:v>Warehouse manager</c:v>
                </c:pt>
                <c:pt idx="7">
                  <c:v>Chief finance officer</c:v>
                </c:pt>
                <c:pt idx="8">
                  <c:v>Sales manager</c:v>
                </c:pt>
                <c:pt idx="9">
                  <c:v>Branch manager</c:v>
                </c:pt>
                <c:pt idx="10">
                  <c:v>Warehouse in charge</c:v>
                </c:pt>
                <c:pt idx="11">
                  <c:v>Material handling executive</c:v>
                </c:pt>
                <c:pt idx="12">
                  <c:v>Inventory manager</c:v>
                </c:pt>
                <c:pt idx="13">
                  <c:v>Engineering department manager</c:v>
                </c:pt>
                <c:pt idx="14">
                  <c:v>Assistant manager</c:v>
                </c:pt>
                <c:pt idx="15">
                  <c:v>Manager</c:v>
                </c:pt>
                <c:pt idx="16">
                  <c:v>Non-executive director</c:v>
                </c:pt>
                <c:pt idx="17">
                  <c:v>Block development manager</c:v>
                </c:pt>
                <c:pt idx="18">
                  <c:v>Head of marketing</c:v>
                </c:pt>
                <c:pt idx="19">
                  <c:v>In House logistics executive</c:v>
                </c:pt>
                <c:pt idx="20">
                  <c:v>HR manager</c:v>
                </c:pt>
                <c:pt idx="21">
                  <c:v>Fleet manager</c:v>
                </c:pt>
                <c:pt idx="22">
                  <c:v>Chief executive officer</c:v>
                </c:pt>
                <c:pt idx="23">
                  <c:v>Technical support executive</c:v>
                </c:pt>
                <c:pt idx="24">
                  <c:v>Marketing manager</c:v>
                </c:pt>
                <c:pt idx="25">
                  <c:v>Executive director</c:v>
                </c:pt>
                <c:pt idx="26">
                  <c:v>Director</c:v>
                </c:pt>
              </c:strCache>
            </c:strRef>
          </c:cat>
          <c:val>
            <c:numRef>
              <c:f>Workbook!$C$287:$C$314</c:f>
              <c:numCache>
                <c:formatCode>General</c:formatCode>
                <c:ptCount val="27"/>
                <c:pt idx="0">
                  <c:v>14</c:v>
                </c:pt>
                <c:pt idx="1">
                  <c:v>11</c:v>
                </c:pt>
                <c:pt idx="2">
                  <c:v>10</c:v>
                </c:pt>
                <c:pt idx="3">
                  <c:v>10</c:v>
                </c:pt>
                <c:pt idx="4">
                  <c:v>10</c:v>
                </c:pt>
                <c:pt idx="5">
                  <c:v>10</c:v>
                </c:pt>
                <c:pt idx="6">
                  <c:v>10</c:v>
                </c:pt>
                <c:pt idx="7">
                  <c:v>10</c:v>
                </c:pt>
                <c:pt idx="8">
                  <c:v>9</c:v>
                </c:pt>
                <c:pt idx="9">
                  <c:v>8</c:v>
                </c:pt>
                <c:pt idx="10">
                  <c:v>8</c:v>
                </c:pt>
                <c:pt idx="11">
                  <c:v>8</c:v>
                </c:pt>
                <c:pt idx="12">
                  <c:v>8</c:v>
                </c:pt>
                <c:pt idx="13">
                  <c:v>7</c:v>
                </c:pt>
                <c:pt idx="14">
                  <c:v>7</c:v>
                </c:pt>
                <c:pt idx="15">
                  <c:v>7</c:v>
                </c:pt>
                <c:pt idx="16">
                  <c:v>7</c:v>
                </c:pt>
                <c:pt idx="17">
                  <c:v>6</c:v>
                </c:pt>
                <c:pt idx="18">
                  <c:v>6</c:v>
                </c:pt>
                <c:pt idx="19">
                  <c:v>6</c:v>
                </c:pt>
                <c:pt idx="20">
                  <c:v>5</c:v>
                </c:pt>
                <c:pt idx="21">
                  <c:v>5</c:v>
                </c:pt>
                <c:pt idx="22">
                  <c:v>4</c:v>
                </c:pt>
                <c:pt idx="23">
                  <c:v>4</c:v>
                </c:pt>
                <c:pt idx="24">
                  <c:v>4</c:v>
                </c:pt>
                <c:pt idx="25">
                  <c:v>4</c:v>
                </c:pt>
                <c:pt idx="26">
                  <c:v>2</c:v>
                </c:pt>
              </c:numCache>
            </c:numRef>
          </c:val>
          <c:extLst>
            <c:ext xmlns:c16="http://schemas.microsoft.com/office/drawing/2014/chart" uri="{C3380CC4-5D6E-409C-BE32-E72D297353CC}">
              <c16:uniqueId val="{00000000-FB1D-4AC5-9459-2DE191D7B7B5}"/>
            </c:ext>
          </c:extLst>
        </c:ser>
        <c:dLbls>
          <c:showLegendKey val="0"/>
          <c:showVal val="1"/>
          <c:showCatName val="0"/>
          <c:showSerName val="0"/>
          <c:showPercent val="0"/>
          <c:showBubbleSize val="0"/>
        </c:dLbls>
        <c:gapWidth val="150"/>
        <c:shape val="box"/>
        <c:axId val="1778259439"/>
        <c:axId val="1778258479"/>
        <c:axId val="0"/>
      </c:bar3DChart>
      <c:catAx>
        <c:axId val="17782594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258479"/>
        <c:crosses val="autoZero"/>
        <c:auto val="1"/>
        <c:lblAlgn val="ctr"/>
        <c:lblOffset val="100"/>
        <c:noMultiLvlLbl val="0"/>
      </c:catAx>
      <c:valAx>
        <c:axId val="1778258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259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8">
  <a:schemeClr val="accent5"/>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4" Type="http://schemas.openxmlformats.org/officeDocument/2006/relationships/chart" Target="../charts/chart2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5" Type="http://schemas.openxmlformats.org/officeDocument/2006/relationships/chart" Target="../charts/chart29.xml"/><Relationship Id="rId4" Type="http://schemas.openxmlformats.org/officeDocument/2006/relationships/chart" Target="../charts/chart28.xml"/></Relationships>
</file>

<file path=xl/drawings/_rels/drawing5.xml.rels><?xml version="1.0" encoding="UTF-8" standalone="yes"?>
<Relationships xmlns="http://schemas.openxmlformats.org/package/2006/relationships"><Relationship Id="rId3" Type="http://schemas.openxmlformats.org/officeDocument/2006/relationships/chart" Target="../charts/chart32.xml"/><Relationship Id="rId2" Type="http://schemas.openxmlformats.org/officeDocument/2006/relationships/chart" Target="../charts/chart31.xml"/><Relationship Id="rId1"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xdr:from>
      <xdr:col>3</xdr:col>
      <xdr:colOff>579120</xdr:colOff>
      <xdr:row>33</xdr:row>
      <xdr:rowOff>19050</xdr:rowOff>
    </xdr:from>
    <xdr:to>
      <xdr:col>10</xdr:col>
      <xdr:colOff>563880</xdr:colOff>
      <xdr:row>45</xdr:row>
      <xdr:rowOff>76200</xdr:rowOff>
    </xdr:to>
    <xdr:graphicFrame macro="">
      <xdr:nvGraphicFramePr>
        <xdr:cNvPr id="2" name="Chart 1">
          <a:extLst>
            <a:ext uri="{FF2B5EF4-FFF2-40B4-BE49-F238E27FC236}">
              <a16:creationId xmlns:a16="http://schemas.microsoft.com/office/drawing/2014/main" id="{55C0B94E-57A5-59BF-736C-0B8543C2A1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571500</xdr:colOff>
      <xdr:row>14</xdr:row>
      <xdr:rowOff>1</xdr:rowOff>
    </xdr:from>
    <xdr:to>
      <xdr:col>2</xdr:col>
      <xdr:colOff>929640</xdr:colOff>
      <xdr:row>19</xdr:row>
      <xdr:rowOff>68581</xdr:rowOff>
    </xdr:to>
    <mc:AlternateContent xmlns:mc="http://schemas.openxmlformats.org/markup-compatibility/2006" xmlns:a14="http://schemas.microsoft.com/office/drawing/2010/main">
      <mc:Choice Requires="a14">
        <xdr:graphicFrame macro="">
          <xdr:nvGraphicFramePr>
            <xdr:cNvPr id="3" name="Payment_Mode">
              <a:extLst>
                <a:ext uri="{FF2B5EF4-FFF2-40B4-BE49-F238E27FC236}">
                  <a16:creationId xmlns:a16="http://schemas.microsoft.com/office/drawing/2014/main" id="{6F45243E-16EB-B9A2-1D9B-16DCE690F519}"/>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571500" y="2560321"/>
              <a:ext cx="1828800" cy="982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396240</xdr:colOff>
      <xdr:row>14</xdr:row>
      <xdr:rowOff>15241</xdr:rowOff>
    </xdr:from>
    <xdr:to>
      <xdr:col>4</xdr:col>
      <xdr:colOff>388620</xdr:colOff>
      <xdr:row>20</xdr:row>
      <xdr:rowOff>99060</xdr:rowOff>
    </xdr:to>
    <mc:AlternateContent xmlns:mc="http://schemas.openxmlformats.org/markup-compatibility/2006" xmlns:a14="http://schemas.microsoft.com/office/drawing/2010/main">
      <mc:Choice Requires="a14">
        <xdr:graphicFrame macro="">
          <xdr:nvGraphicFramePr>
            <xdr:cNvPr id="4" name="PaymentCategory">
              <a:extLst>
                <a:ext uri="{FF2B5EF4-FFF2-40B4-BE49-F238E27FC236}">
                  <a16:creationId xmlns:a16="http://schemas.microsoft.com/office/drawing/2014/main" id="{6054436A-6519-09AD-B55B-77F3AB1EEFB7}"/>
                </a:ext>
              </a:extLst>
            </xdr:cNvPr>
            <xdr:cNvGraphicFramePr/>
          </xdr:nvGraphicFramePr>
          <xdr:xfrm>
            <a:off x="0" y="0"/>
            <a:ext cx="0" cy="0"/>
          </xdr:xfrm>
          <a:graphic>
            <a:graphicData uri="http://schemas.microsoft.com/office/drawing/2010/slicer">
              <sle:slicer xmlns:sle="http://schemas.microsoft.com/office/drawing/2010/slicer" name="PaymentCategory"/>
            </a:graphicData>
          </a:graphic>
        </xdr:graphicFrame>
      </mc:Choice>
      <mc:Fallback xmlns="">
        <xdr:sp macro="" textlink="">
          <xdr:nvSpPr>
            <xdr:cNvPr id="0" name=""/>
            <xdr:cNvSpPr>
              <a:spLocks noTextEdit="1"/>
            </xdr:cNvSpPr>
          </xdr:nvSpPr>
          <xdr:spPr>
            <a:xfrm>
              <a:off x="2773680" y="2575561"/>
              <a:ext cx="1828800"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152400</xdr:colOff>
      <xdr:row>14</xdr:row>
      <xdr:rowOff>15241</xdr:rowOff>
    </xdr:from>
    <xdr:to>
      <xdr:col>10</xdr:col>
      <xdr:colOff>152400</xdr:colOff>
      <xdr:row>21</xdr:row>
      <xdr:rowOff>22861</xdr:rowOff>
    </xdr:to>
    <mc:AlternateContent xmlns:mc="http://schemas.openxmlformats.org/markup-compatibility/2006" xmlns:a14="http://schemas.microsoft.com/office/drawing/2010/main">
      <mc:Choice Requires="a14">
        <xdr:graphicFrame macro="">
          <xdr:nvGraphicFramePr>
            <xdr:cNvPr id="6" name="Customer_Type">
              <a:extLst>
                <a:ext uri="{FF2B5EF4-FFF2-40B4-BE49-F238E27FC236}">
                  <a16:creationId xmlns:a16="http://schemas.microsoft.com/office/drawing/2014/main" id="{E56ACAA4-1DAC-6CEB-3FC9-373FCC4878D6}"/>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6934200" y="2575561"/>
              <a:ext cx="182880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76200</xdr:colOff>
      <xdr:row>25</xdr:row>
      <xdr:rowOff>53341</xdr:rowOff>
    </xdr:from>
    <xdr:to>
      <xdr:col>2</xdr:col>
      <xdr:colOff>1043940</xdr:colOff>
      <xdr:row>29</xdr:row>
      <xdr:rowOff>167640</xdr:rowOff>
    </xdr:to>
    <mc:AlternateContent xmlns:mc="http://schemas.openxmlformats.org/markup-compatibility/2006" xmlns:a14="http://schemas.microsoft.com/office/drawing/2010/main">
      <mc:Choice Requires="a14">
        <xdr:graphicFrame macro="">
          <xdr:nvGraphicFramePr>
            <xdr:cNvPr id="7" name="Shipment_Domain">
              <a:extLst>
                <a:ext uri="{FF2B5EF4-FFF2-40B4-BE49-F238E27FC236}">
                  <a16:creationId xmlns:a16="http://schemas.microsoft.com/office/drawing/2014/main" id="{E4E870E0-F4DD-74D5-791B-2B9BD1DE2872}"/>
                </a:ext>
              </a:extLst>
            </xdr:cNvPr>
            <xdr:cNvGraphicFramePr/>
          </xdr:nvGraphicFramePr>
          <xdr:xfrm>
            <a:off x="0" y="0"/>
            <a:ext cx="0" cy="0"/>
          </xdr:xfrm>
          <a:graphic>
            <a:graphicData uri="http://schemas.microsoft.com/office/drawing/2010/slicer">
              <sle:slicer xmlns:sle="http://schemas.microsoft.com/office/drawing/2010/slicer" name="Shipment_Domain"/>
            </a:graphicData>
          </a:graphic>
        </xdr:graphicFrame>
      </mc:Choice>
      <mc:Fallback xmlns="">
        <xdr:sp macro="" textlink="">
          <xdr:nvSpPr>
            <xdr:cNvPr id="0" name=""/>
            <xdr:cNvSpPr>
              <a:spLocks noTextEdit="1"/>
            </xdr:cNvSpPr>
          </xdr:nvSpPr>
          <xdr:spPr>
            <a:xfrm>
              <a:off x="685800" y="4625341"/>
              <a:ext cx="1828800" cy="845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137160</xdr:colOff>
      <xdr:row>25</xdr:row>
      <xdr:rowOff>15241</xdr:rowOff>
    </xdr:from>
    <xdr:to>
      <xdr:col>5</xdr:col>
      <xdr:colOff>350520</xdr:colOff>
      <xdr:row>30</xdr:row>
      <xdr:rowOff>38100</xdr:rowOff>
    </xdr:to>
    <mc:AlternateContent xmlns:mc="http://schemas.openxmlformats.org/markup-compatibility/2006" xmlns:a14="http://schemas.microsoft.com/office/drawing/2010/main">
      <mc:Choice Requires="a14">
        <xdr:graphicFrame macro="">
          <xdr:nvGraphicFramePr>
            <xdr:cNvPr id="8" name="Current_Status">
              <a:extLst>
                <a:ext uri="{FF2B5EF4-FFF2-40B4-BE49-F238E27FC236}">
                  <a16:creationId xmlns:a16="http://schemas.microsoft.com/office/drawing/2014/main" id="{24DF5F8C-B28B-F73A-A7CB-33DB4DAA68C9}"/>
                </a:ext>
              </a:extLst>
            </xdr:cNvPr>
            <xdr:cNvGraphicFramePr/>
          </xdr:nvGraphicFramePr>
          <xdr:xfrm>
            <a:off x="0" y="0"/>
            <a:ext cx="0" cy="0"/>
          </xdr:xfrm>
          <a:graphic>
            <a:graphicData uri="http://schemas.microsoft.com/office/drawing/2010/slicer">
              <sle:slicer xmlns:sle="http://schemas.microsoft.com/office/drawing/2010/slicer" name="Current_Status"/>
            </a:graphicData>
          </a:graphic>
        </xdr:graphicFrame>
      </mc:Choice>
      <mc:Fallback xmlns="">
        <xdr:sp macro="" textlink="">
          <xdr:nvSpPr>
            <xdr:cNvPr id="0" name=""/>
            <xdr:cNvSpPr>
              <a:spLocks noTextEdit="1"/>
            </xdr:cNvSpPr>
          </xdr:nvSpPr>
          <xdr:spPr>
            <a:xfrm>
              <a:off x="4084320" y="4587241"/>
              <a:ext cx="1828800" cy="937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320040</xdr:colOff>
      <xdr:row>24</xdr:row>
      <xdr:rowOff>68581</xdr:rowOff>
    </xdr:from>
    <xdr:to>
      <xdr:col>15</xdr:col>
      <xdr:colOff>601980</xdr:colOff>
      <xdr:row>31</xdr:row>
      <xdr:rowOff>83820</xdr:rowOff>
    </xdr:to>
    <mc:AlternateContent xmlns:mc="http://schemas.openxmlformats.org/markup-compatibility/2006" xmlns:a14="http://schemas.microsoft.com/office/drawing/2010/main">
      <mc:Choice Requires="a14">
        <xdr:graphicFrame macro="">
          <xdr:nvGraphicFramePr>
            <xdr:cNvPr id="9" name="E_BRANCH">
              <a:extLst>
                <a:ext uri="{FF2B5EF4-FFF2-40B4-BE49-F238E27FC236}">
                  <a16:creationId xmlns:a16="http://schemas.microsoft.com/office/drawing/2014/main" id="{E0893331-ED7B-0DD6-2EBB-16A8FB57B0F6}"/>
                </a:ext>
              </a:extLst>
            </xdr:cNvPr>
            <xdr:cNvGraphicFramePr/>
          </xdr:nvGraphicFramePr>
          <xdr:xfrm>
            <a:off x="0" y="0"/>
            <a:ext cx="0" cy="0"/>
          </xdr:xfrm>
          <a:graphic>
            <a:graphicData uri="http://schemas.microsoft.com/office/drawing/2010/slicer">
              <sle:slicer xmlns:sle="http://schemas.microsoft.com/office/drawing/2010/slicer" name="E_BRANCH"/>
            </a:graphicData>
          </a:graphic>
        </xdr:graphicFrame>
      </mc:Choice>
      <mc:Fallback xmlns="">
        <xdr:sp macro="" textlink="">
          <xdr:nvSpPr>
            <xdr:cNvPr id="0" name=""/>
            <xdr:cNvSpPr>
              <a:spLocks noTextEdit="1"/>
            </xdr:cNvSpPr>
          </xdr:nvSpPr>
          <xdr:spPr>
            <a:xfrm>
              <a:off x="10149840" y="4457701"/>
              <a:ext cx="2110740" cy="1295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38100</xdr:colOff>
      <xdr:row>86</xdr:row>
      <xdr:rowOff>160020</xdr:rowOff>
    </xdr:from>
    <xdr:to>
      <xdr:col>10</xdr:col>
      <xdr:colOff>99060</xdr:colOff>
      <xdr:row>99</xdr:row>
      <xdr:rowOff>3810</xdr:rowOff>
    </xdr:to>
    <xdr:graphicFrame macro="">
      <xdr:nvGraphicFramePr>
        <xdr:cNvPr id="10" name="Chart 9">
          <a:extLst>
            <a:ext uri="{FF2B5EF4-FFF2-40B4-BE49-F238E27FC236}">
              <a16:creationId xmlns:a16="http://schemas.microsoft.com/office/drawing/2014/main" id="{70EC5632-84E8-94DB-1D0B-B7ACFD4E0E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228600</xdr:colOff>
      <xdr:row>100</xdr:row>
      <xdr:rowOff>163830</xdr:rowOff>
    </xdr:from>
    <xdr:to>
      <xdr:col>9</xdr:col>
      <xdr:colOff>586740</xdr:colOff>
      <xdr:row>112</xdr:row>
      <xdr:rowOff>45720</xdr:rowOff>
    </xdr:to>
    <xdr:graphicFrame macro="">
      <xdr:nvGraphicFramePr>
        <xdr:cNvPr id="11" name="Chart 10">
          <a:extLst>
            <a:ext uri="{FF2B5EF4-FFF2-40B4-BE49-F238E27FC236}">
              <a16:creationId xmlns:a16="http://schemas.microsoft.com/office/drawing/2014/main" id="{DA6888D6-C402-4B0D-A86B-633213DF9C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586740</xdr:colOff>
      <xdr:row>112</xdr:row>
      <xdr:rowOff>152400</xdr:rowOff>
    </xdr:from>
    <xdr:to>
      <xdr:col>11</xdr:col>
      <xdr:colOff>281940</xdr:colOff>
      <xdr:row>127</xdr:row>
      <xdr:rowOff>152400</xdr:rowOff>
    </xdr:to>
    <xdr:graphicFrame macro="">
      <xdr:nvGraphicFramePr>
        <xdr:cNvPr id="12" name="Chart 11">
          <a:extLst>
            <a:ext uri="{FF2B5EF4-FFF2-40B4-BE49-F238E27FC236}">
              <a16:creationId xmlns:a16="http://schemas.microsoft.com/office/drawing/2014/main" id="{E2E46A8B-D4CA-B5D5-C461-D07069A494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594360</xdr:colOff>
      <xdr:row>129</xdr:row>
      <xdr:rowOff>49530</xdr:rowOff>
    </xdr:from>
    <xdr:to>
      <xdr:col>11</xdr:col>
      <xdr:colOff>289560</xdr:colOff>
      <xdr:row>144</xdr:row>
      <xdr:rowOff>49530</xdr:rowOff>
    </xdr:to>
    <xdr:graphicFrame macro="">
      <xdr:nvGraphicFramePr>
        <xdr:cNvPr id="13" name="Chart 12">
          <a:extLst>
            <a:ext uri="{FF2B5EF4-FFF2-40B4-BE49-F238E27FC236}">
              <a16:creationId xmlns:a16="http://schemas.microsoft.com/office/drawing/2014/main" id="{B179FA2D-DD8D-44B2-F4E0-D1C564E742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678180</xdr:colOff>
      <xdr:row>146</xdr:row>
      <xdr:rowOff>26670</xdr:rowOff>
    </xdr:from>
    <xdr:to>
      <xdr:col>8</xdr:col>
      <xdr:colOff>251460</xdr:colOff>
      <xdr:row>160</xdr:row>
      <xdr:rowOff>167640</xdr:rowOff>
    </xdr:to>
    <xdr:graphicFrame macro="">
      <xdr:nvGraphicFramePr>
        <xdr:cNvPr id="14" name="Chart 13">
          <a:extLst>
            <a:ext uri="{FF2B5EF4-FFF2-40B4-BE49-F238E27FC236}">
              <a16:creationId xmlns:a16="http://schemas.microsoft.com/office/drawing/2014/main" id="{36BACF80-1661-700F-180A-9077986599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396240</xdr:colOff>
      <xdr:row>161</xdr:row>
      <xdr:rowOff>118110</xdr:rowOff>
    </xdr:from>
    <xdr:to>
      <xdr:col>6</xdr:col>
      <xdr:colOff>259080</xdr:colOff>
      <xdr:row>173</xdr:row>
      <xdr:rowOff>121920</xdr:rowOff>
    </xdr:to>
    <xdr:graphicFrame macro="">
      <xdr:nvGraphicFramePr>
        <xdr:cNvPr id="15" name="Chart 14">
          <a:extLst>
            <a:ext uri="{FF2B5EF4-FFF2-40B4-BE49-F238E27FC236}">
              <a16:creationId xmlns:a16="http://schemas.microsoft.com/office/drawing/2014/main" id="{46FEEDBA-DC76-0FB7-C6E8-79CA2AD35B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701040</xdr:colOff>
      <xdr:row>181</xdr:row>
      <xdr:rowOff>140970</xdr:rowOff>
    </xdr:from>
    <xdr:to>
      <xdr:col>8</xdr:col>
      <xdr:colOff>259080</xdr:colOff>
      <xdr:row>196</xdr:row>
      <xdr:rowOff>140970</xdr:rowOff>
    </xdr:to>
    <xdr:graphicFrame macro="">
      <xdr:nvGraphicFramePr>
        <xdr:cNvPr id="16" name="Chart 15">
          <a:extLst>
            <a:ext uri="{FF2B5EF4-FFF2-40B4-BE49-F238E27FC236}">
              <a16:creationId xmlns:a16="http://schemas.microsoft.com/office/drawing/2014/main" id="{FBA9EC6A-95FE-E006-6BEB-7B4AE5F383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655320</xdr:colOff>
      <xdr:row>198</xdr:row>
      <xdr:rowOff>87630</xdr:rowOff>
    </xdr:from>
    <xdr:to>
      <xdr:col>9</xdr:col>
      <xdr:colOff>320040</xdr:colOff>
      <xdr:row>213</xdr:row>
      <xdr:rowOff>87630</xdr:rowOff>
    </xdr:to>
    <xdr:graphicFrame macro="">
      <xdr:nvGraphicFramePr>
        <xdr:cNvPr id="17" name="Chart 16">
          <a:extLst>
            <a:ext uri="{FF2B5EF4-FFF2-40B4-BE49-F238E27FC236}">
              <a16:creationId xmlns:a16="http://schemas.microsoft.com/office/drawing/2014/main" id="{5A4E31DE-50E9-6DE9-4876-AAD78783C8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556260</xdr:colOff>
      <xdr:row>239</xdr:row>
      <xdr:rowOff>133350</xdr:rowOff>
    </xdr:from>
    <xdr:to>
      <xdr:col>10</xdr:col>
      <xdr:colOff>464820</xdr:colOff>
      <xdr:row>254</xdr:row>
      <xdr:rowOff>133350</xdr:rowOff>
    </xdr:to>
    <xdr:graphicFrame macro="">
      <xdr:nvGraphicFramePr>
        <xdr:cNvPr id="18" name="Chart 17">
          <a:extLst>
            <a:ext uri="{FF2B5EF4-FFF2-40B4-BE49-F238E27FC236}">
              <a16:creationId xmlns:a16="http://schemas.microsoft.com/office/drawing/2014/main" id="{7EEE66F1-A888-32F1-8FB6-73FE4C6622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266700</xdr:colOff>
      <xdr:row>267</xdr:row>
      <xdr:rowOff>41910</xdr:rowOff>
    </xdr:from>
    <xdr:to>
      <xdr:col>10</xdr:col>
      <xdr:colOff>175260</xdr:colOff>
      <xdr:row>282</xdr:row>
      <xdr:rowOff>41910</xdr:rowOff>
    </xdr:to>
    <xdr:graphicFrame macro="">
      <xdr:nvGraphicFramePr>
        <xdr:cNvPr id="19" name="Chart 18">
          <a:extLst>
            <a:ext uri="{FF2B5EF4-FFF2-40B4-BE49-F238E27FC236}">
              <a16:creationId xmlns:a16="http://schemas.microsoft.com/office/drawing/2014/main" id="{DA750827-D072-14EF-EC63-79638291C3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822960</xdr:colOff>
      <xdr:row>295</xdr:row>
      <xdr:rowOff>148590</xdr:rowOff>
    </xdr:from>
    <xdr:to>
      <xdr:col>9</xdr:col>
      <xdr:colOff>487680</xdr:colOff>
      <xdr:row>310</xdr:row>
      <xdr:rowOff>148590</xdr:rowOff>
    </xdr:to>
    <xdr:graphicFrame macro="">
      <xdr:nvGraphicFramePr>
        <xdr:cNvPr id="20" name="Chart 19">
          <a:extLst>
            <a:ext uri="{FF2B5EF4-FFF2-40B4-BE49-F238E27FC236}">
              <a16:creationId xmlns:a16="http://schemas.microsoft.com/office/drawing/2014/main" id="{D4CB9053-03F2-93E5-0DDF-EAC13ECF22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106680</xdr:colOff>
      <xdr:row>314</xdr:row>
      <xdr:rowOff>41910</xdr:rowOff>
    </xdr:from>
    <xdr:to>
      <xdr:col>9</xdr:col>
      <xdr:colOff>121920</xdr:colOff>
      <xdr:row>329</xdr:row>
      <xdr:rowOff>41910</xdr:rowOff>
    </xdr:to>
    <xdr:graphicFrame macro="">
      <xdr:nvGraphicFramePr>
        <xdr:cNvPr id="21" name="Chart 20">
          <a:extLst>
            <a:ext uri="{FF2B5EF4-FFF2-40B4-BE49-F238E27FC236}">
              <a16:creationId xmlns:a16="http://schemas.microsoft.com/office/drawing/2014/main" id="{7A63264B-3455-9D82-30B9-B32FA40579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762000</xdr:colOff>
      <xdr:row>330</xdr:row>
      <xdr:rowOff>3810</xdr:rowOff>
    </xdr:from>
    <xdr:to>
      <xdr:col>11</xdr:col>
      <xdr:colOff>30480</xdr:colOff>
      <xdr:row>345</xdr:row>
      <xdr:rowOff>3810</xdr:rowOff>
    </xdr:to>
    <xdr:graphicFrame macro="">
      <xdr:nvGraphicFramePr>
        <xdr:cNvPr id="22" name="Chart 21">
          <a:extLst>
            <a:ext uri="{FF2B5EF4-FFF2-40B4-BE49-F238E27FC236}">
              <a16:creationId xmlns:a16="http://schemas.microsoft.com/office/drawing/2014/main" id="{DF45F860-B61E-4519-0F52-61BB647A74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91440</xdr:colOff>
      <xdr:row>0</xdr:row>
      <xdr:rowOff>30480</xdr:rowOff>
    </xdr:from>
    <xdr:to>
      <xdr:col>22</xdr:col>
      <xdr:colOff>586740</xdr:colOff>
      <xdr:row>3</xdr:row>
      <xdr:rowOff>15240</xdr:rowOff>
    </xdr:to>
    <xdr:sp macro="" textlink="">
      <xdr:nvSpPr>
        <xdr:cNvPr id="3" name="Rectangle: Rounded Corners 2">
          <a:extLst>
            <a:ext uri="{FF2B5EF4-FFF2-40B4-BE49-F238E27FC236}">
              <a16:creationId xmlns:a16="http://schemas.microsoft.com/office/drawing/2014/main" id="{23900A61-619C-9055-D62B-8ECE2D7BA23C}"/>
            </a:ext>
          </a:extLst>
        </xdr:cNvPr>
        <xdr:cNvSpPr/>
      </xdr:nvSpPr>
      <xdr:spPr>
        <a:xfrm>
          <a:off x="91440" y="30480"/>
          <a:ext cx="13906500" cy="533400"/>
        </a:xfrm>
        <a:prstGeom prst="roundRect">
          <a:avLst>
            <a:gd name="adj" fmla="val 32381"/>
          </a:avLst>
        </a:prstGeom>
        <a:solidFill>
          <a:srgbClr val="40A8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3200">
              <a:solidFill>
                <a:schemeClr val="lt1"/>
              </a:solidFill>
              <a:latin typeface="+mn-lt"/>
              <a:ea typeface="+mn-ea"/>
              <a:cs typeface="+mn-cs"/>
            </a:rPr>
            <a:t>ElectroniTech Manufacturing Co. – Executive Dashboard</a:t>
          </a:r>
        </a:p>
      </xdr:txBody>
    </xdr:sp>
    <xdr:clientData/>
  </xdr:twoCellAnchor>
  <xdr:twoCellAnchor>
    <xdr:from>
      <xdr:col>6</xdr:col>
      <xdr:colOff>259080</xdr:colOff>
      <xdr:row>5</xdr:row>
      <xdr:rowOff>144779</xdr:rowOff>
    </xdr:from>
    <xdr:to>
      <xdr:col>7</xdr:col>
      <xdr:colOff>388620</xdr:colOff>
      <xdr:row>8</xdr:row>
      <xdr:rowOff>182878</xdr:rowOff>
    </xdr:to>
    <xdr:sp macro="" textlink="">
      <xdr:nvSpPr>
        <xdr:cNvPr id="6" name="TextBox 5">
          <a:extLst>
            <a:ext uri="{FF2B5EF4-FFF2-40B4-BE49-F238E27FC236}">
              <a16:creationId xmlns:a16="http://schemas.microsoft.com/office/drawing/2014/main" id="{2A50FB68-F6B9-6496-5CC0-99400F42F4DD}"/>
            </a:ext>
          </a:extLst>
        </xdr:cNvPr>
        <xdr:cNvSpPr txBox="1"/>
      </xdr:nvSpPr>
      <xdr:spPr>
        <a:xfrm>
          <a:off x="3916680" y="1059179"/>
          <a:ext cx="739140" cy="5867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525780</xdr:colOff>
      <xdr:row>3</xdr:row>
      <xdr:rowOff>76200</xdr:rowOff>
    </xdr:from>
    <xdr:to>
      <xdr:col>3</xdr:col>
      <xdr:colOff>556260</xdr:colOff>
      <xdr:row>7</xdr:row>
      <xdr:rowOff>106680</xdr:rowOff>
    </xdr:to>
    <xdr:sp macro="" textlink="Workbook!C4">
      <xdr:nvSpPr>
        <xdr:cNvPr id="7" name="Rectangle: Rounded Corners 6">
          <a:extLst>
            <a:ext uri="{FF2B5EF4-FFF2-40B4-BE49-F238E27FC236}">
              <a16:creationId xmlns:a16="http://schemas.microsoft.com/office/drawing/2014/main" id="{A5773B17-4906-4498-A8F0-5CC280CBE856}"/>
            </a:ext>
          </a:extLst>
        </xdr:cNvPr>
        <xdr:cNvSpPr/>
      </xdr:nvSpPr>
      <xdr:spPr>
        <a:xfrm>
          <a:off x="525780" y="635000"/>
          <a:ext cx="1859280" cy="775547"/>
        </a:xfrm>
        <a:prstGeom prst="roundRect">
          <a:avLst/>
        </a:prstGeom>
        <a:solidFill>
          <a:srgbClr val="40A8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9ED11D0B-CCA2-4A5F-9824-0501379AFA50}" type="TxLink">
            <a:rPr lang="en-US" sz="2000">
              <a:solidFill>
                <a:schemeClr val="lt1"/>
              </a:solidFill>
              <a:latin typeface="+mn-lt"/>
              <a:ea typeface="+mn-ea"/>
              <a:cs typeface="+mn-cs"/>
            </a:rPr>
            <a:pPr marL="0" indent="0" algn="ctr"/>
            <a:t>9.49M</a:t>
          </a:fld>
          <a:endParaRPr lang="en-IN" sz="2000">
            <a:solidFill>
              <a:schemeClr val="lt1"/>
            </a:solidFill>
            <a:latin typeface="+mn-lt"/>
            <a:ea typeface="+mn-ea"/>
            <a:cs typeface="+mn-cs"/>
          </a:endParaRPr>
        </a:p>
      </xdr:txBody>
    </xdr:sp>
    <xdr:clientData/>
  </xdr:twoCellAnchor>
  <xdr:oneCellAnchor>
    <xdr:from>
      <xdr:col>0</xdr:col>
      <xdr:colOff>601980</xdr:colOff>
      <xdr:row>3</xdr:row>
      <xdr:rowOff>167640</xdr:rowOff>
    </xdr:from>
    <xdr:ext cx="1653540" cy="297180"/>
    <xdr:sp macro="" textlink="">
      <xdr:nvSpPr>
        <xdr:cNvPr id="8" name="TextBox 7">
          <a:extLst>
            <a:ext uri="{FF2B5EF4-FFF2-40B4-BE49-F238E27FC236}">
              <a16:creationId xmlns:a16="http://schemas.microsoft.com/office/drawing/2014/main" id="{338CCFF1-5E8F-ACB0-54CE-0024B7A2577A}"/>
            </a:ext>
          </a:extLst>
        </xdr:cNvPr>
        <xdr:cNvSpPr txBox="1"/>
      </xdr:nvSpPr>
      <xdr:spPr>
        <a:xfrm>
          <a:off x="601980" y="716280"/>
          <a:ext cx="1653540" cy="2971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IN" sz="1400" b="1" baseline="0">
              <a:solidFill>
                <a:schemeClr val="tx1"/>
              </a:solidFill>
              <a:latin typeface="+mn-lt"/>
              <a:ea typeface="+mn-ea"/>
              <a:cs typeface="+mn-cs"/>
            </a:rPr>
            <a:t>TOTAL REVENUE</a:t>
          </a:r>
        </a:p>
      </xdr:txBody>
    </xdr:sp>
    <xdr:clientData/>
  </xdr:oneCellAnchor>
  <xdr:twoCellAnchor>
    <xdr:from>
      <xdr:col>4</xdr:col>
      <xdr:colOff>30480</xdr:colOff>
      <xdr:row>3</xdr:row>
      <xdr:rowOff>76200</xdr:rowOff>
    </xdr:from>
    <xdr:to>
      <xdr:col>6</xdr:col>
      <xdr:colOff>586740</xdr:colOff>
      <xdr:row>7</xdr:row>
      <xdr:rowOff>114300</xdr:rowOff>
    </xdr:to>
    <xdr:sp macro="" textlink="Workbook!H4">
      <xdr:nvSpPr>
        <xdr:cNvPr id="9" name="Rectangle: Rounded Corners 8">
          <a:extLst>
            <a:ext uri="{FF2B5EF4-FFF2-40B4-BE49-F238E27FC236}">
              <a16:creationId xmlns:a16="http://schemas.microsoft.com/office/drawing/2014/main" id="{1419A6D2-F7EE-48C6-8229-E4330E78CBA0}"/>
            </a:ext>
          </a:extLst>
        </xdr:cNvPr>
        <xdr:cNvSpPr/>
      </xdr:nvSpPr>
      <xdr:spPr>
        <a:xfrm>
          <a:off x="2468880" y="624840"/>
          <a:ext cx="1775460" cy="769620"/>
        </a:xfrm>
        <a:prstGeom prst="roundRect">
          <a:avLst/>
        </a:prstGeom>
        <a:solidFill>
          <a:srgbClr val="40A8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BA94C912-41F9-4C80-98A1-2FEBA5984D33}" type="TxLink">
            <a:rPr lang="en-US" sz="2000">
              <a:solidFill>
                <a:schemeClr val="lt1"/>
              </a:solidFill>
              <a:latin typeface="+mn-lt"/>
              <a:ea typeface="+mn-ea"/>
              <a:cs typeface="+mn-cs"/>
            </a:rPr>
            <a:pPr marL="0" indent="0" algn="ctr"/>
            <a:t>200</a:t>
          </a:fld>
          <a:endParaRPr lang="en-IN" sz="2000">
            <a:solidFill>
              <a:schemeClr val="lt1"/>
            </a:solidFill>
            <a:latin typeface="+mn-lt"/>
            <a:ea typeface="+mn-ea"/>
            <a:cs typeface="+mn-cs"/>
          </a:endParaRPr>
        </a:p>
      </xdr:txBody>
    </xdr:sp>
    <xdr:clientData/>
  </xdr:twoCellAnchor>
  <xdr:oneCellAnchor>
    <xdr:from>
      <xdr:col>4</xdr:col>
      <xdr:colOff>68580</xdr:colOff>
      <xdr:row>3</xdr:row>
      <xdr:rowOff>129540</xdr:rowOff>
    </xdr:from>
    <xdr:ext cx="1668780" cy="335280"/>
    <xdr:sp macro="" textlink="">
      <xdr:nvSpPr>
        <xdr:cNvPr id="10" name="TextBox 9">
          <a:extLst>
            <a:ext uri="{FF2B5EF4-FFF2-40B4-BE49-F238E27FC236}">
              <a16:creationId xmlns:a16="http://schemas.microsoft.com/office/drawing/2014/main" id="{311C1686-6B33-AC10-F95E-6A012BB7352E}"/>
            </a:ext>
          </a:extLst>
        </xdr:cNvPr>
        <xdr:cNvSpPr txBox="1"/>
      </xdr:nvSpPr>
      <xdr:spPr>
        <a:xfrm>
          <a:off x="2506980" y="678180"/>
          <a:ext cx="1668780" cy="3352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IN" sz="1400" b="1" baseline="0">
              <a:solidFill>
                <a:schemeClr val="tx1"/>
              </a:solidFill>
              <a:latin typeface="+mn-lt"/>
              <a:ea typeface="+mn-ea"/>
              <a:cs typeface="+mn-cs"/>
            </a:rPr>
            <a:t>TOTAL CUSTOMERS</a:t>
          </a:r>
        </a:p>
      </xdr:txBody>
    </xdr:sp>
    <xdr:clientData/>
  </xdr:oneCellAnchor>
  <xdr:twoCellAnchor>
    <xdr:from>
      <xdr:col>7</xdr:col>
      <xdr:colOff>53340</xdr:colOff>
      <xdr:row>3</xdr:row>
      <xdr:rowOff>91440</xdr:rowOff>
    </xdr:from>
    <xdr:to>
      <xdr:col>10</xdr:col>
      <xdr:colOff>99060</xdr:colOff>
      <xdr:row>7</xdr:row>
      <xdr:rowOff>114300</xdr:rowOff>
    </xdr:to>
    <xdr:sp macro="" textlink="Workbook!L4">
      <xdr:nvSpPr>
        <xdr:cNvPr id="11" name="Rectangle: Rounded Corners 10">
          <a:extLst>
            <a:ext uri="{FF2B5EF4-FFF2-40B4-BE49-F238E27FC236}">
              <a16:creationId xmlns:a16="http://schemas.microsoft.com/office/drawing/2014/main" id="{2D16436B-883C-48A4-AFA7-773898F31EAD}"/>
            </a:ext>
          </a:extLst>
        </xdr:cNvPr>
        <xdr:cNvSpPr/>
      </xdr:nvSpPr>
      <xdr:spPr>
        <a:xfrm>
          <a:off x="4320540" y="640080"/>
          <a:ext cx="1874520" cy="754380"/>
        </a:xfrm>
        <a:prstGeom prst="roundRect">
          <a:avLst/>
        </a:prstGeom>
        <a:solidFill>
          <a:srgbClr val="40A8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13C063DE-9523-4DFE-9766-F4E6C0C69F00}" type="TxLink">
            <a:rPr lang="en-US" sz="2000">
              <a:solidFill>
                <a:schemeClr val="lt1"/>
              </a:solidFill>
              <a:latin typeface="+mn-lt"/>
              <a:ea typeface="+mn-ea"/>
              <a:cs typeface="+mn-cs"/>
            </a:rPr>
            <a:pPr marL="0" indent="0" algn="ctr"/>
            <a:t>200</a:t>
          </a:fld>
          <a:endParaRPr lang="en-IN" sz="2000">
            <a:solidFill>
              <a:schemeClr val="lt1"/>
            </a:solidFill>
            <a:latin typeface="+mn-lt"/>
            <a:ea typeface="+mn-ea"/>
            <a:cs typeface="+mn-cs"/>
          </a:endParaRPr>
        </a:p>
      </xdr:txBody>
    </xdr:sp>
    <xdr:clientData/>
  </xdr:twoCellAnchor>
  <xdr:oneCellAnchor>
    <xdr:from>
      <xdr:col>7</xdr:col>
      <xdr:colOff>127000</xdr:colOff>
      <xdr:row>3</xdr:row>
      <xdr:rowOff>167639</xdr:rowOff>
    </xdr:from>
    <xdr:ext cx="1717040" cy="298027"/>
    <xdr:sp macro="" textlink="">
      <xdr:nvSpPr>
        <xdr:cNvPr id="12" name="TextBox 11">
          <a:extLst>
            <a:ext uri="{FF2B5EF4-FFF2-40B4-BE49-F238E27FC236}">
              <a16:creationId xmlns:a16="http://schemas.microsoft.com/office/drawing/2014/main" id="{121CBC28-C13E-A153-A824-E0B5E0379FC1}"/>
            </a:ext>
          </a:extLst>
        </xdr:cNvPr>
        <xdr:cNvSpPr txBox="1"/>
      </xdr:nvSpPr>
      <xdr:spPr>
        <a:xfrm>
          <a:off x="4394200" y="726439"/>
          <a:ext cx="1717040" cy="2980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IN" sz="1400" b="1" baseline="0">
              <a:solidFill>
                <a:schemeClr val="tx1"/>
              </a:solidFill>
              <a:latin typeface="+mn-lt"/>
              <a:ea typeface="+mn-ea"/>
              <a:cs typeface="+mn-cs"/>
            </a:rPr>
            <a:t>TOTAL SHIPMENT</a:t>
          </a:r>
        </a:p>
      </xdr:txBody>
    </xdr:sp>
    <xdr:clientData/>
  </xdr:oneCellAnchor>
  <xdr:twoCellAnchor>
    <xdr:from>
      <xdr:col>10</xdr:col>
      <xdr:colOff>160021</xdr:colOff>
      <xdr:row>3</xdr:row>
      <xdr:rowOff>106680</xdr:rowOff>
    </xdr:from>
    <xdr:to>
      <xdr:col>11</xdr:col>
      <xdr:colOff>495906</xdr:colOff>
      <xdr:row>7</xdr:row>
      <xdr:rowOff>99060</xdr:rowOff>
    </xdr:to>
    <xdr:sp macro="" textlink="Workbook!P4">
      <xdr:nvSpPr>
        <xdr:cNvPr id="14" name="Rectangle: Rounded Corners 13">
          <a:extLst>
            <a:ext uri="{FF2B5EF4-FFF2-40B4-BE49-F238E27FC236}">
              <a16:creationId xmlns:a16="http://schemas.microsoft.com/office/drawing/2014/main" id="{0734C51C-709B-4483-A181-66B67C1F4E42}"/>
            </a:ext>
          </a:extLst>
        </xdr:cNvPr>
        <xdr:cNvSpPr/>
      </xdr:nvSpPr>
      <xdr:spPr>
        <a:xfrm>
          <a:off x="6207640" y="650966"/>
          <a:ext cx="1908266" cy="718094"/>
        </a:xfrm>
        <a:prstGeom prst="roundRect">
          <a:avLst/>
        </a:prstGeom>
        <a:solidFill>
          <a:srgbClr val="40A8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11CB1CA7-EDAC-48FC-945A-9A9DD573EDD3}" type="TxLink">
            <a:rPr lang="en-US" sz="2000">
              <a:solidFill>
                <a:schemeClr val="lt1"/>
              </a:solidFill>
              <a:latin typeface="+mn-lt"/>
              <a:ea typeface="+mn-ea"/>
              <a:cs typeface="+mn-cs"/>
            </a:rPr>
            <a:pPr marL="0" indent="0" algn="ctr"/>
            <a:t>47.45K</a:t>
          </a:fld>
          <a:endParaRPr lang="en-IN" sz="2000">
            <a:solidFill>
              <a:schemeClr val="lt1"/>
            </a:solidFill>
            <a:latin typeface="+mn-lt"/>
            <a:ea typeface="+mn-ea"/>
            <a:cs typeface="+mn-cs"/>
          </a:endParaRPr>
        </a:p>
      </xdr:txBody>
    </xdr:sp>
    <xdr:clientData/>
  </xdr:twoCellAnchor>
  <xdr:oneCellAnchor>
    <xdr:from>
      <xdr:col>10</xdr:col>
      <xdr:colOff>243840</xdr:colOff>
      <xdr:row>3</xdr:row>
      <xdr:rowOff>152400</xdr:rowOff>
    </xdr:from>
    <xdr:ext cx="1729740" cy="297180"/>
    <xdr:sp macro="" textlink="">
      <xdr:nvSpPr>
        <xdr:cNvPr id="17" name="TextBox 16">
          <a:extLst>
            <a:ext uri="{FF2B5EF4-FFF2-40B4-BE49-F238E27FC236}">
              <a16:creationId xmlns:a16="http://schemas.microsoft.com/office/drawing/2014/main" id="{A0226C6F-11DC-BD29-28BC-C480F00528FA}"/>
            </a:ext>
          </a:extLst>
        </xdr:cNvPr>
        <xdr:cNvSpPr txBox="1"/>
      </xdr:nvSpPr>
      <xdr:spPr>
        <a:xfrm>
          <a:off x="6339840" y="701040"/>
          <a:ext cx="1729740" cy="2971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r>
            <a:rPr lang="en-IN" sz="1400" b="1" baseline="0">
              <a:solidFill>
                <a:schemeClr val="tx1"/>
              </a:solidFill>
              <a:latin typeface="+mn-lt"/>
              <a:ea typeface="+mn-ea"/>
              <a:cs typeface="+mn-cs"/>
            </a:rPr>
            <a:t>AVERAGE PAYMENT</a:t>
          </a:r>
        </a:p>
      </xdr:txBody>
    </xdr:sp>
    <xdr:clientData/>
  </xdr:oneCellAnchor>
  <xdr:twoCellAnchor>
    <xdr:from>
      <xdr:col>11</xdr:col>
      <xdr:colOff>579484</xdr:colOff>
      <xdr:row>3</xdr:row>
      <xdr:rowOff>111155</xdr:rowOff>
    </xdr:from>
    <xdr:to>
      <xdr:col>13</xdr:col>
      <xdr:colOff>407247</xdr:colOff>
      <xdr:row>7</xdr:row>
      <xdr:rowOff>118775</xdr:rowOff>
    </xdr:to>
    <xdr:sp macro="" textlink="Workbook!T4">
      <xdr:nvSpPr>
        <xdr:cNvPr id="18" name="Rectangle: Rounded Corners 17">
          <a:extLst>
            <a:ext uri="{FF2B5EF4-FFF2-40B4-BE49-F238E27FC236}">
              <a16:creationId xmlns:a16="http://schemas.microsoft.com/office/drawing/2014/main" id="{DA20DE84-5F1B-4B40-B376-6078616B71F0}"/>
            </a:ext>
          </a:extLst>
        </xdr:cNvPr>
        <xdr:cNvSpPr/>
      </xdr:nvSpPr>
      <xdr:spPr>
        <a:xfrm>
          <a:off x="8199484" y="655441"/>
          <a:ext cx="2053287" cy="733334"/>
        </a:xfrm>
        <a:prstGeom prst="roundRect">
          <a:avLst/>
        </a:prstGeom>
        <a:solidFill>
          <a:srgbClr val="40A8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A58A9BDD-E5C9-420B-9E48-D3F80FBB84A0}" type="TxLink">
            <a:rPr lang="en-US" sz="2000">
              <a:solidFill>
                <a:schemeClr val="lt1"/>
              </a:solidFill>
              <a:latin typeface="+mn-lt"/>
              <a:ea typeface="+mn-ea"/>
              <a:cs typeface="+mn-cs"/>
            </a:rPr>
            <a:pPr marL="0" indent="0" algn="ctr"/>
            <a:t>937.97</a:t>
          </a:fld>
          <a:endParaRPr lang="en-IN" sz="2000">
            <a:solidFill>
              <a:schemeClr val="lt1"/>
            </a:solidFill>
            <a:latin typeface="+mn-lt"/>
            <a:ea typeface="+mn-ea"/>
            <a:cs typeface="+mn-cs"/>
          </a:endParaRPr>
        </a:p>
      </xdr:txBody>
    </xdr:sp>
    <xdr:clientData/>
  </xdr:twoCellAnchor>
  <xdr:oneCellAnchor>
    <xdr:from>
      <xdr:col>11</xdr:col>
      <xdr:colOff>638629</xdr:colOff>
      <xdr:row>3</xdr:row>
      <xdr:rowOff>155544</xdr:rowOff>
    </xdr:from>
    <xdr:ext cx="2019300" cy="312420"/>
    <xdr:sp macro="" textlink="">
      <xdr:nvSpPr>
        <xdr:cNvPr id="19" name="TextBox 18">
          <a:extLst>
            <a:ext uri="{FF2B5EF4-FFF2-40B4-BE49-F238E27FC236}">
              <a16:creationId xmlns:a16="http://schemas.microsoft.com/office/drawing/2014/main" id="{E9E3A8AD-99AB-DB93-9FB6-2AA44489296A}"/>
            </a:ext>
          </a:extLst>
        </xdr:cNvPr>
        <xdr:cNvSpPr txBox="1"/>
      </xdr:nvSpPr>
      <xdr:spPr>
        <a:xfrm>
          <a:off x="8258629" y="699830"/>
          <a:ext cx="2019300" cy="3124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r>
            <a:rPr lang="en-IN" sz="1400" b="1" baseline="0">
              <a:solidFill>
                <a:schemeClr val="tx1"/>
              </a:solidFill>
              <a:latin typeface="+mn-lt"/>
              <a:ea typeface="+mn-ea"/>
              <a:cs typeface="+mn-cs"/>
            </a:rPr>
            <a:t>AVG SHIPMENT CHARGE</a:t>
          </a:r>
        </a:p>
      </xdr:txBody>
    </xdr:sp>
    <xdr:clientData/>
  </xdr:oneCellAnchor>
  <xdr:twoCellAnchor>
    <xdr:from>
      <xdr:col>13</xdr:col>
      <xdr:colOff>534972</xdr:colOff>
      <xdr:row>3</xdr:row>
      <xdr:rowOff>103535</xdr:rowOff>
    </xdr:from>
    <xdr:to>
      <xdr:col>16</xdr:col>
      <xdr:colOff>527352</xdr:colOff>
      <xdr:row>7</xdr:row>
      <xdr:rowOff>118775</xdr:rowOff>
    </xdr:to>
    <xdr:sp macro="" textlink="Workbook!K7">
      <xdr:nvSpPr>
        <xdr:cNvPr id="20" name="Rectangle: Rounded Corners 19">
          <a:extLst>
            <a:ext uri="{FF2B5EF4-FFF2-40B4-BE49-F238E27FC236}">
              <a16:creationId xmlns:a16="http://schemas.microsoft.com/office/drawing/2014/main" id="{8332FC5E-A95B-4EEC-9709-4C294F063235}"/>
            </a:ext>
          </a:extLst>
        </xdr:cNvPr>
        <xdr:cNvSpPr/>
      </xdr:nvSpPr>
      <xdr:spPr>
        <a:xfrm>
          <a:off x="10380496" y="647821"/>
          <a:ext cx="1806666" cy="740954"/>
        </a:xfrm>
        <a:prstGeom prst="roundRect">
          <a:avLst/>
        </a:prstGeom>
        <a:solidFill>
          <a:srgbClr val="40A8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DE3C3ACD-C061-4EC0-A7EC-DF9F0C1C9538}" type="TxLink">
            <a:rPr lang="en-US" sz="2000">
              <a:solidFill>
                <a:schemeClr val="lt1"/>
              </a:solidFill>
              <a:latin typeface="+mn-lt"/>
              <a:ea typeface="+mn-ea"/>
              <a:cs typeface="+mn-cs"/>
            </a:rPr>
            <a:pPr marL="0" indent="0" algn="ctr"/>
            <a:t>522.02</a:t>
          </a:fld>
          <a:endParaRPr lang="en-IN" sz="2000">
            <a:solidFill>
              <a:schemeClr val="lt1"/>
            </a:solidFill>
            <a:latin typeface="+mn-lt"/>
            <a:ea typeface="+mn-ea"/>
            <a:cs typeface="+mn-cs"/>
          </a:endParaRPr>
        </a:p>
      </xdr:txBody>
    </xdr:sp>
    <xdr:clientData/>
  </xdr:twoCellAnchor>
  <xdr:oneCellAnchor>
    <xdr:from>
      <xdr:col>13</xdr:col>
      <xdr:colOff>455627</xdr:colOff>
      <xdr:row>3</xdr:row>
      <xdr:rowOff>161350</xdr:rowOff>
    </xdr:from>
    <xdr:ext cx="1987611" cy="310364"/>
    <xdr:sp macro="" textlink="">
      <xdr:nvSpPr>
        <xdr:cNvPr id="21" name="TextBox 20">
          <a:extLst>
            <a:ext uri="{FF2B5EF4-FFF2-40B4-BE49-F238E27FC236}">
              <a16:creationId xmlns:a16="http://schemas.microsoft.com/office/drawing/2014/main" id="{0E9521BF-0CC5-EBDC-EC51-31B8F2C657A6}"/>
            </a:ext>
          </a:extLst>
        </xdr:cNvPr>
        <xdr:cNvSpPr txBox="1"/>
      </xdr:nvSpPr>
      <xdr:spPr>
        <a:xfrm>
          <a:off x="10301151" y="705636"/>
          <a:ext cx="1987611" cy="3103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r>
            <a:rPr lang="en-IN" sz="1400" b="1" baseline="0">
              <a:solidFill>
                <a:schemeClr val="tx1"/>
              </a:solidFill>
              <a:latin typeface="+mn-lt"/>
              <a:ea typeface="+mn-ea"/>
              <a:cs typeface="+mn-cs"/>
            </a:rPr>
            <a:t>AVG SHIPMENT WEIGHT</a:t>
          </a:r>
        </a:p>
      </xdr:txBody>
    </xdr:sp>
    <xdr:clientData/>
  </xdr:oneCellAnchor>
  <xdr:twoCellAnchor>
    <xdr:from>
      <xdr:col>17</xdr:col>
      <xdr:colOff>44027</xdr:colOff>
      <xdr:row>3</xdr:row>
      <xdr:rowOff>112486</xdr:rowOff>
    </xdr:from>
    <xdr:to>
      <xdr:col>20</xdr:col>
      <xdr:colOff>36407</xdr:colOff>
      <xdr:row>7</xdr:row>
      <xdr:rowOff>127726</xdr:rowOff>
    </xdr:to>
    <xdr:sp macro="" textlink="Workbook!G7">
      <xdr:nvSpPr>
        <xdr:cNvPr id="4" name="Rectangle: Rounded Corners 3">
          <a:extLst>
            <a:ext uri="{FF2B5EF4-FFF2-40B4-BE49-F238E27FC236}">
              <a16:creationId xmlns:a16="http://schemas.microsoft.com/office/drawing/2014/main" id="{D26AE185-AA29-4A98-B6FD-BA555AD9137A}"/>
            </a:ext>
          </a:extLst>
        </xdr:cNvPr>
        <xdr:cNvSpPr/>
      </xdr:nvSpPr>
      <xdr:spPr>
        <a:xfrm>
          <a:off x="12308598" y="656772"/>
          <a:ext cx="1806666" cy="740954"/>
        </a:xfrm>
        <a:prstGeom prst="roundRect">
          <a:avLst/>
        </a:prstGeom>
        <a:solidFill>
          <a:srgbClr val="40A8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421BD6AF-13F8-4BEA-B58D-FB68E246E6E2}" type="TxLink">
            <a:rPr lang="en-US" sz="2000">
              <a:solidFill>
                <a:schemeClr val="lt1"/>
              </a:solidFill>
              <a:latin typeface="+mn-lt"/>
              <a:ea typeface="+mn-ea"/>
              <a:cs typeface="+mn-cs"/>
            </a:rPr>
            <a:pPr marL="0" indent="0" algn="ctr"/>
            <a:t>100</a:t>
          </a:fld>
          <a:endParaRPr lang="en-IN" sz="2000">
            <a:solidFill>
              <a:schemeClr val="lt1"/>
            </a:solidFill>
            <a:latin typeface="+mn-lt"/>
            <a:ea typeface="+mn-ea"/>
            <a:cs typeface="+mn-cs"/>
          </a:endParaRPr>
        </a:p>
      </xdr:txBody>
    </xdr:sp>
    <xdr:clientData/>
  </xdr:twoCellAnchor>
  <xdr:oneCellAnchor>
    <xdr:from>
      <xdr:col>17</xdr:col>
      <xdr:colOff>84665</xdr:colOff>
      <xdr:row>3</xdr:row>
      <xdr:rowOff>156875</xdr:rowOff>
    </xdr:from>
    <xdr:ext cx="1712445" cy="308792"/>
    <xdr:sp macro="" textlink="">
      <xdr:nvSpPr>
        <xdr:cNvPr id="13" name="TextBox 12">
          <a:extLst>
            <a:ext uri="{FF2B5EF4-FFF2-40B4-BE49-F238E27FC236}">
              <a16:creationId xmlns:a16="http://schemas.microsoft.com/office/drawing/2014/main" id="{FB368306-EE94-4745-D4B8-5B26C53A1E94}"/>
            </a:ext>
          </a:extLst>
        </xdr:cNvPr>
        <xdr:cNvSpPr txBox="1"/>
      </xdr:nvSpPr>
      <xdr:spPr>
        <a:xfrm>
          <a:off x="12412132" y="715675"/>
          <a:ext cx="1712445" cy="308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lgn="ctr"/>
          <a:r>
            <a:rPr lang="en-IN" sz="1400" b="1" baseline="0">
              <a:solidFill>
                <a:schemeClr val="tx1"/>
              </a:solidFill>
              <a:latin typeface="+mn-lt"/>
              <a:ea typeface="+mn-ea"/>
              <a:cs typeface="+mn-cs"/>
            </a:rPr>
            <a:t>DELIVERED SHIPMENT</a:t>
          </a:r>
        </a:p>
        <a:p>
          <a:pPr marL="0" indent="0" algn="ctr"/>
          <a:endParaRPr lang="en-IN" sz="1400" b="1" baseline="0">
            <a:solidFill>
              <a:schemeClr val="tx1"/>
            </a:solidFill>
            <a:latin typeface="+mn-lt"/>
            <a:ea typeface="+mn-ea"/>
            <a:cs typeface="+mn-cs"/>
          </a:endParaRPr>
        </a:p>
      </xdr:txBody>
    </xdr:sp>
    <xdr:clientData/>
  </xdr:oneCellAnchor>
  <xdr:twoCellAnchor editAs="oneCell">
    <xdr:from>
      <xdr:col>0</xdr:col>
      <xdr:colOff>45720</xdr:colOff>
      <xdr:row>7</xdr:row>
      <xdr:rowOff>167640</xdr:rowOff>
    </xdr:from>
    <xdr:to>
      <xdr:col>3</xdr:col>
      <xdr:colOff>38100</xdr:colOff>
      <xdr:row>12</xdr:row>
      <xdr:rowOff>175260</xdr:rowOff>
    </xdr:to>
    <mc:AlternateContent xmlns:mc="http://schemas.openxmlformats.org/markup-compatibility/2006" xmlns:a14="http://schemas.microsoft.com/office/drawing/2010/main">
      <mc:Choice Requires="a14">
        <xdr:graphicFrame macro="">
          <xdr:nvGraphicFramePr>
            <xdr:cNvPr id="15" name="Payment_Mode 1">
              <a:extLst>
                <a:ext uri="{FF2B5EF4-FFF2-40B4-BE49-F238E27FC236}">
                  <a16:creationId xmlns:a16="http://schemas.microsoft.com/office/drawing/2014/main" id="{E7D49BD6-1A26-4417-B893-964A1C4847CB}"/>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mlns="">
        <xdr:sp macro="" textlink="">
          <xdr:nvSpPr>
            <xdr:cNvPr id="0" name=""/>
            <xdr:cNvSpPr>
              <a:spLocks noTextEdit="1"/>
            </xdr:cNvSpPr>
          </xdr:nvSpPr>
          <xdr:spPr>
            <a:xfrm>
              <a:off x="45720" y="1471507"/>
              <a:ext cx="1821180" cy="9389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12</xdr:row>
      <xdr:rowOff>167640</xdr:rowOff>
    </xdr:from>
    <xdr:to>
      <xdr:col>3</xdr:col>
      <xdr:colOff>30480</xdr:colOff>
      <xdr:row>19</xdr:row>
      <xdr:rowOff>68579</xdr:rowOff>
    </xdr:to>
    <mc:AlternateContent xmlns:mc="http://schemas.openxmlformats.org/markup-compatibility/2006" xmlns:a14="http://schemas.microsoft.com/office/drawing/2010/main">
      <mc:Choice Requires="a14">
        <xdr:graphicFrame macro="">
          <xdr:nvGraphicFramePr>
            <xdr:cNvPr id="16" name="PaymentCategory 1">
              <a:extLst>
                <a:ext uri="{FF2B5EF4-FFF2-40B4-BE49-F238E27FC236}">
                  <a16:creationId xmlns:a16="http://schemas.microsoft.com/office/drawing/2014/main" id="{2752682C-7F49-4221-8167-28A08AAC6730}"/>
                </a:ext>
              </a:extLst>
            </xdr:cNvPr>
            <xdr:cNvGraphicFramePr/>
          </xdr:nvGraphicFramePr>
          <xdr:xfrm>
            <a:off x="0" y="0"/>
            <a:ext cx="0" cy="0"/>
          </xdr:xfrm>
          <a:graphic>
            <a:graphicData uri="http://schemas.microsoft.com/office/drawing/2010/slicer">
              <sle:slicer xmlns:sle="http://schemas.microsoft.com/office/drawing/2010/slicer" name="PaymentCategory 1"/>
            </a:graphicData>
          </a:graphic>
        </xdr:graphicFrame>
      </mc:Choice>
      <mc:Fallback xmlns="">
        <xdr:sp macro="" textlink="">
          <xdr:nvSpPr>
            <xdr:cNvPr id="0" name=""/>
            <xdr:cNvSpPr>
              <a:spLocks noTextEdit="1"/>
            </xdr:cNvSpPr>
          </xdr:nvSpPr>
          <xdr:spPr>
            <a:xfrm>
              <a:off x="30480" y="2402840"/>
              <a:ext cx="1828800" cy="12048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19</xdr:row>
      <xdr:rowOff>68580</xdr:rowOff>
    </xdr:from>
    <xdr:to>
      <xdr:col>3</xdr:col>
      <xdr:colOff>22860</xdr:colOff>
      <xdr:row>26</xdr:row>
      <xdr:rowOff>15240</xdr:rowOff>
    </xdr:to>
    <mc:AlternateContent xmlns:mc="http://schemas.openxmlformats.org/markup-compatibility/2006" xmlns:a14="http://schemas.microsoft.com/office/drawing/2010/main">
      <mc:Choice Requires="a14">
        <xdr:graphicFrame macro="">
          <xdr:nvGraphicFramePr>
            <xdr:cNvPr id="22" name="Customer_Type 1">
              <a:extLst>
                <a:ext uri="{FF2B5EF4-FFF2-40B4-BE49-F238E27FC236}">
                  <a16:creationId xmlns:a16="http://schemas.microsoft.com/office/drawing/2014/main" id="{9504312B-D846-4E03-B6EF-FC3D64F05B18}"/>
                </a:ext>
              </a:extLst>
            </xdr:cNvPr>
            <xdr:cNvGraphicFramePr/>
          </xdr:nvGraphicFramePr>
          <xdr:xfrm>
            <a:off x="0" y="0"/>
            <a:ext cx="0" cy="0"/>
          </xdr:xfrm>
          <a:graphic>
            <a:graphicData uri="http://schemas.microsoft.com/office/drawing/2010/slicer">
              <sle:slicer xmlns:sle="http://schemas.microsoft.com/office/drawing/2010/slicer" name="Customer_Type 1"/>
            </a:graphicData>
          </a:graphic>
        </xdr:graphicFrame>
      </mc:Choice>
      <mc:Fallback xmlns="">
        <xdr:sp macro="" textlink="">
          <xdr:nvSpPr>
            <xdr:cNvPr id="0" name=""/>
            <xdr:cNvSpPr>
              <a:spLocks noTextEdit="1"/>
            </xdr:cNvSpPr>
          </xdr:nvSpPr>
          <xdr:spPr>
            <a:xfrm>
              <a:off x="22860" y="3607647"/>
              <a:ext cx="1828800" cy="12505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200902</xdr:colOff>
      <xdr:row>13</xdr:row>
      <xdr:rowOff>41245</xdr:rowOff>
    </xdr:from>
    <xdr:to>
      <xdr:col>22</xdr:col>
      <xdr:colOff>200902</xdr:colOff>
      <xdr:row>18</xdr:row>
      <xdr:rowOff>26005</xdr:rowOff>
    </xdr:to>
    <mc:AlternateContent xmlns:mc="http://schemas.openxmlformats.org/markup-compatibility/2006" xmlns:a14="http://schemas.microsoft.com/office/drawing/2010/main">
      <mc:Choice Requires="a14">
        <xdr:graphicFrame macro="">
          <xdr:nvGraphicFramePr>
            <xdr:cNvPr id="23" name="Shipment_Domain 1">
              <a:extLst>
                <a:ext uri="{FF2B5EF4-FFF2-40B4-BE49-F238E27FC236}">
                  <a16:creationId xmlns:a16="http://schemas.microsoft.com/office/drawing/2014/main" id="{13FD66D3-EF2D-4F70-B597-B8E7E6342001}"/>
                </a:ext>
              </a:extLst>
            </xdr:cNvPr>
            <xdr:cNvGraphicFramePr/>
          </xdr:nvGraphicFramePr>
          <xdr:xfrm>
            <a:off x="0" y="0"/>
            <a:ext cx="0" cy="0"/>
          </xdr:xfrm>
          <a:graphic>
            <a:graphicData uri="http://schemas.microsoft.com/office/drawing/2010/slicer">
              <sle:slicer xmlns:sle="http://schemas.microsoft.com/office/drawing/2010/slicer" name="Shipment_Domain 1"/>
            </a:graphicData>
          </a:graphic>
        </xdr:graphicFrame>
      </mc:Choice>
      <mc:Fallback xmlns="">
        <xdr:sp macro="" textlink="">
          <xdr:nvSpPr>
            <xdr:cNvPr id="0" name=""/>
            <xdr:cNvSpPr>
              <a:spLocks noTextEdit="1"/>
            </xdr:cNvSpPr>
          </xdr:nvSpPr>
          <xdr:spPr>
            <a:xfrm>
              <a:off x="13747569" y="2462712"/>
              <a:ext cx="1828800" cy="9160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200901</xdr:colOff>
      <xdr:row>8</xdr:row>
      <xdr:rowOff>3144</xdr:rowOff>
    </xdr:from>
    <xdr:to>
      <xdr:col>22</xdr:col>
      <xdr:colOff>200901</xdr:colOff>
      <xdr:row>13</xdr:row>
      <xdr:rowOff>26003</xdr:rowOff>
    </xdr:to>
    <mc:AlternateContent xmlns:mc="http://schemas.openxmlformats.org/markup-compatibility/2006" xmlns:a14="http://schemas.microsoft.com/office/drawing/2010/main">
      <mc:Choice Requires="a14">
        <xdr:graphicFrame macro="">
          <xdr:nvGraphicFramePr>
            <xdr:cNvPr id="24" name="Current_Status 1">
              <a:extLst>
                <a:ext uri="{FF2B5EF4-FFF2-40B4-BE49-F238E27FC236}">
                  <a16:creationId xmlns:a16="http://schemas.microsoft.com/office/drawing/2014/main" id="{4318C4C4-E8D3-4D0B-8B16-29C60FFCF8B2}"/>
                </a:ext>
              </a:extLst>
            </xdr:cNvPr>
            <xdr:cNvGraphicFramePr/>
          </xdr:nvGraphicFramePr>
          <xdr:xfrm>
            <a:off x="0" y="0"/>
            <a:ext cx="0" cy="0"/>
          </xdr:xfrm>
          <a:graphic>
            <a:graphicData uri="http://schemas.microsoft.com/office/drawing/2010/slicer">
              <sle:slicer xmlns:sle="http://schemas.microsoft.com/office/drawing/2010/slicer" name="Current_Status 1"/>
            </a:graphicData>
          </a:graphic>
        </xdr:graphicFrame>
      </mc:Choice>
      <mc:Fallback xmlns="">
        <xdr:sp macro="" textlink="">
          <xdr:nvSpPr>
            <xdr:cNvPr id="0" name=""/>
            <xdr:cNvSpPr>
              <a:spLocks noTextEdit="1"/>
            </xdr:cNvSpPr>
          </xdr:nvSpPr>
          <xdr:spPr>
            <a:xfrm>
              <a:off x="13747568" y="1493277"/>
              <a:ext cx="1828800" cy="9541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231381</xdr:colOff>
      <xdr:row>18</xdr:row>
      <xdr:rowOff>68580</xdr:rowOff>
    </xdr:from>
    <xdr:to>
      <xdr:col>22</xdr:col>
      <xdr:colOff>208521</xdr:colOff>
      <xdr:row>28</xdr:row>
      <xdr:rowOff>144780</xdr:rowOff>
    </xdr:to>
    <mc:AlternateContent xmlns:mc="http://schemas.openxmlformats.org/markup-compatibility/2006" xmlns:a14="http://schemas.microsoft.com/office/drawing/2010/main">
      <mc:Choice Requires="a14">
        <xdr:graphicFrame macro="">
          <xdr:nvGraphicFramePr>
            <xdr:cNvPr id="25" name="E_BRANCH 1">
              <a:extLst>
                <a:ext uri="{FF2B5EF4-FFF2-40B4-BE49-F238E27FC236}">
                  <a16:creationId xmlns:a16="http://schemas.microsoft.com/office/drawing/2014/main" id="{914DB2C2-41E9-4893-A609-427DA30AA668}"/>
                </a:ext>
              </a:extLst>
            </xdr:cNvPr>
            <xdr:cNvGraphicFramePr/>
          </xdr:nvGraphicFramePr>
          <xdr:xfrm>
            <a:off x="0" y="0"/>
            <a:ext cx="0" cy="0"/>
          </xdr:xfrm>
          <a:graphic>
            <a:graphicData uri="http://schemas.microsoft.com/office/drawing/2010/slicer">
              <sle:slicer xmlns:sle="http://schemas.microsoft.com/office/drawing/2010/slicer" name="E_BRANCH 1"/>
            </a:graphicData>
          </a:graphic>
        </xdr:graphicFrame>
      </mc:Choice>
      <mc:Fallback xmlns="">
        <xdr:sp macro="" textlink="">
          <xdr:nvSpPr>
            <xdr:cNvPr id="0" name=""/>
            <xdr:cNvSpPr>
              <a:spLocks noTextEdit="1"/>
            </xdr:cNvSpPr>
          </xdr:nvSpPr>
          <xdr:spPr>
            <a:xfrm>
              <a:off x="13778048" y="3421380"/>
              <a:ext cx="1805940" cy="19388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75354</xdr:colOff>
      <xdr:row>8</xdr:row>
      <xdr:rowOff>0</xdr:rowOff>
    </xdr:from>
    <xdr:to>
      <xdr:col>8</xdr:col>
      <xdr:colOff>242994</xdr:colOff>
      <xdr:row>17</xdr:row>
      <xdr:rowOff>175260</xdr:rowOff>
    </xdr:to>
    <xdr:graphicFrame macro="">
      <xdr:nvGraphicFramePr>
        <xdr:cNvPr id="26" name="Chart 25">
          <a:extLst>
            <a:ext uri="{FF2B5EF4-FFF2-40B4-BE49-F238E27FC236}">
              <a16:creationId xmlns:a16="http://schemas.microsoft.com/office/drawing/2014/main" id="{F0D4D521-A443-4F7E-8754-A75557B7C7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84668</xdr:colOff>
      <xdr:row>18</xdr:row>
      <xdr:rowOff>0</xdr:rowOff>
    </xdr:from>
    <xdr:to>
      <xdr:col>8</xdr:col>
      <xdr:colOff>279400</xdr:colOff>
      <xdr:row>30</xdr:row>
      <xdr:rowOff>93133</xdr:rowOff>
    </xdr:to>
    <xdr:graphicFrame macro="">
      <xdr:nvGraphicFramePr>
        <xdr:cNvPr id="27" name="Chart 26">
          <a:extLst>
            <a:ext uri="{FF2B5EF4-FFF2-40B4-BE49-F238E27FC236}">
              <a16:creationId xmlns:a16="http://schemas.microsoft.com/office/drawing/2014/main" id="{218A031B-E006-45C0-84C6-FC7456E587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296334</xdr:colOff>
      <xdr:row>7</xdr:row>
      <xdr:rowOff>185420</xdr:rowOff>
    </xdr:from>
    <xdr:to>
      <xdr:col>14</xdr:col>
      <xdr:colOff>237066</xdr:colOff>
      <xdr:row>19</xdr:row>
      <xdr:rowOff>160866</xdr:rowOff>
    </xdr:to>
    <xdr:graphicFrame macro="">
      <xdr:nvGraphicFramePr>
        <xdr:cNvPr id="28" name="Chart 27">
          <a:extLst>
            <a:ext uri="{FF2B5EF4-FFF2-40B4-BE49-F238E27FC236}">
              <a16:creationId xmlns:a16="http://schemas.microsoft.com/office/drawing/2014/main" id="{C212F0B6-4D77-42E4-ACCE-747E98C3F6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283514</xdr:colOff>
      <xdr:row>7</xdr:row>
      <xdr:rowOff>171269</xdr:rowOff>
    </xdr:from>
    <xdr:to>
      <xdr:col>19</xdr:col>
      <xdr:colOff>143933</xdr:colOff>
      <xdr:row>17</xdr:row>
      <xdr:rowOff>118534</xdr:rowOff>
    </xdr:to>
    <xdr:graphicFrame macro="">
      <xdr:nvGraphicFramePr>
        <xdr:cNvPr id="29" name="Chart 28">
          <a:extLst>
            <a:ext uri="{FF2B5EF4-FFF2-40B4-BE49-F238E27FC236}">
              <a16:creationId xmlns:a16="http://schemas.microsoft.com/office/drawing/2014/main" id="{3E440A91-2C91-41D7-A9C6-4DA0795320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296333</xdr:colOff>
      <xdr:row>19</xdr:row>
      <xdr:rowOff>177800</xdr:rowOff>
    </xdr:from>
    <xdr:to>
      <xdr:col>14</xdr:col>
      <xdr:colOff>237066</xdr:colOff>
      <xdr:row>30</xdr:row>
      <xdr:rowOff>79830</xdr:rowOff>
    </xdr:to>
    <xdr:graphicFrame macro="">
      <xdr:nvGraphicFramePr>
        <xdr:cNvPr id="31" name="Chart 30">
          <a:extLst>
            <a:ext uri="{FF2B5EF4-FFF2-40B4-BE49-F238E27FC236}">
              <a16:creationId xmlns:a16="http://schemas.microsoft.com/office/drawing/2014/main" id="{3A878DB7-47D9-4C19-88E8-93DA25B1AB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254000</xdr:colOff>
      <xdr:row>17</xdr:row>
      <xdr:rowOff>143935</xdr:rowOff>
    </xdr:from>
    <xdr:to>
      <xdr:col>19</xdr:col>
      <xdr:colOff>135466</xdr:colOff>
      <xdr:row>30</xdr:row>
      <xdr:rowOff>84668</xdr:rowOff>
    </xdr:to>
    <xdr:graphicFrame macro="">
      <xdr:nvGraphicFramePr>
        <xdr:cNvPr id="32" name="Chart 31">
          <a:extLst>
            <a:ext uri="{FF2B5EF4-FFF2-40B4-BE49-F238E27FC236}">
              <a16:creationId xmlns:a16="http://schemas.microsoft.com/office/drawing/2014/main" id="{A081FB28-9DBD-4B39-9A20-320E60810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45720</xdr:rowOff>
    </xdr:from>
    <xdr:to>
      <xdr:col>22</xdr:col>
      <xdr:colOff>495300</xdr:colOff>
      <xdr:row>3</xdr:row>
      <xdr:rowOff>30480</xdr:rowOff>
    </xdr:to>
    <xdr:sp macro="" textlink="">
      <xdr:nvSpPr>
        <xdr:cNvPr id="2" name="Rectangle: Rounded Corners 1">
          <a:extLst>
            <a:ext uri="{FF2B5EF4-FFF2-40B4-BE49-F238E27FC236}">
              <a16:creationId xmlns:a16="http://schemas.microsoft.com/office/drawing/2014/main" id="{B56A4AA3-3865-48B6-B265-66D12974A3A8}"/>
            </a:ext>
          </a:extLst>
        </xdr:cNvPr>
        <xdr:cNvSpPr/>
      </xdr:nvSpPr>
      <xdr:spPr>
        <a:xfrm>
          <a:off x="0" y="45720"/>
          <a:ext cx="13906500" cy="533400"/>
        </a:xfrm>
        <a:prstGeom prst="roundRect">
          <a:avLst>
            <a:gd name="adj" fmla="val 32381"/>
          </a:avLst>
        </a:prstGeom>
        <a:solidFill>
          <a:srgbClr val="40A8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3200"/>
            <a:t>CUSTOMER ANALYSIS DASHBOARD</a:t>
          </a:r>
          <a:endParaRPr lang="en-IN" sz="3200">
            <a:solidFill>
              <a:schemeClr val="lt1"/>
            </a:solidFill>
            <a:latin typeface="+mn-lt"/>
            <a:ea typeface="+mn-ea"/>
            <a:cs typeface="+mn-cs"/>
          </a:endParaRPr>
        </a:p>
      </xdr:txBody>
    </xdr:sp>
    <xdr:clientData/>
  </xdr:twoCellAnchor>
  <xdr:twoCellAnchor>
    <xdr:from>
      <xdr:col>0</xdr:col>
      <xdr:colOff>228600</xdr:colOff>
      <xdr:row>3</xdr:row>
      <xdr:rowOff>68580</xdr:rowOff>
    </xdr:from>
    <xdr:to>
      <xdr:col>4</xdr:col>
      <xdr:colOff>228600</xdr:colOff>
      <xdr:row>7</xdr:row>
      <xdr:rowOff>99060</xdr:rowOff>
    </xdr:to>
    <xdr:sp macro="" textlink="Workbook!C4">
      <xdr:nvSpPr>
        <xdr:cNvPr id="3" name="Rectangle: Rounded Corners 2">
          <a:extLst>
            <a:ext uri="{FF2B5EF4-FFF2-40B4-BE49-F238E27FC236}">
              <a16:creationId xmlns:a16="http://schemas.microsoft.com/office/drawing/2014/main" id="{E9BD7FC1-DC28-49BC-8A82-41ED8ACB3601}"/>
            </a:ext>
          </a:extLst>
        </xdr:cNvPr>
        <xdr:cNvSpPr/>
      </xdr:nvSpPr>
      <xdr:spPr>
        <a:xfrm>
          <a:off x="228600" y="617220"/>
          <a:ext cx="2438400" cy="762000"/>
        </a:xfrm>
        <a:prstGeom prst="roundRect">
          <a:avLst/>
        </a:prstGeom>
        <a:solidFill>
          <a:srgbClr val="40A8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9ED11D0B-CCA2-4A5F-9824-0501379AFA50}" type="TxLink">
            <a:rPr lang="en-US" sz="2000">
              <a:solidFill>
                <a:schemeClr val="lt1"/>
              </a:solidFill>
              <a:latin typeface="+mn-lt"/>
              <a:ea typeface="+mn-ea"/>
              <a:cs typeface="+mn-cs"/>
            </a:rPr>
            <a:pPr marL="0" indent="0" algn="ctr"/>
            <a:t>9.49M</a:t>
          </a:fld>
          <a:endParaRPr lang="en-IN" sz="2000">
            <a:solidFill>
              <a:schemeClr val="lt1"/>
            </a:solidFill>
            <a:latin typeface="+mn-lt"/>
            <a:ea typeface="+mn-ea"/>
            <a:cs typeface="+mn-cs"/>
          </a:endParaRPr>
        </a:p>
      </xdr:txBody>
    </xdr:sp>
    <xdr:clientData/>
  </xdr:twoCellAnchor>
  <xdr:oneCellAnchor>
    <xdr:from>
      <xdr:col>0</xdr:col>
      <xdr:colOff>281940</xdr:colOff>
      <xdr:row>3</xdr:row>
      <xdr:rowOff>167640</xdr:rowOff>
    </xdr:from>
    <xdr:ext cx="2156460" cy="297180"/>
    <xdr:sp macro="" textlink="">
      <xdr:nvSpPr>
        <xdr:cNvPr id="4" name="TextBox 3">
          <a:extLst>
            <a:ext uri="{FF2B5EF4-FFF2-40B4-BE49-F238E27FC236}">
              <a16:creationId xmlns:a16="http://schemas.microsoft.com/office/drawing/2014/main" id="{BCE31FDC-EE10-4DEA-AB68-CDF1F106166C}"/>
            </a:ext>
          </a:extLst>
        </xdr:cNvPr>
        <xdr:cNvSpPr txBox="1"/>
      </xdr:nvSpPr>
      <xdr:spPr>
        <a:xfrm>
          <a:off x="281940" y="716280"/>
          <a:ext cx="2156460" cy="2971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IN" sz="1400" b="1" baseline="0">
              <a:solidFill>
                <a:schemeClr val="tx1"/>
              </a:solidFill>
              <a:latin typeface="+mn-lt"/>
              <a:ea typeface="+mn-ea"/>
              <a:cs typeface="+mn-cs"/>
            </a:rPr>
            <a:t>TOTAL REVENUE</a:t>
          </a:r>
        </a:p>
      </xdr:txBody>
    </xdr:sp>
    <xdr:clientData/>
  </xdr:oneCellAnchor>
  <xdr:twoCellAnchor>
    <xdr:from>
      <xdr:col>4</xdr:col>
      <xdr:colOff>396240</xdr:colOff>
      <xdr:row>3</xdr:row>
      <xdr:rowOff>60960</xdr:rowOff>
    </xdr:from>
    <xdr:to>
      <xdr:col>8</xdr:col>
      <xdr:colOff>449580</xdr:colOff>
      <xdr:row>7</xdr:row>
      <xdr:rowOff>99060</xdr:rowOff>
    </xdr:to>
    <xdr:sp macro="" textlink="Workbook!H4">
      <xdr:nvSpPr>
        <xdr:cNvPr id="5" name="Rectangle: Rounded Corners 4">
          <a:extLst>
            <a:ext uri="{FF2B5EF4-FFF2-40B4-BE49-F238E27FC236}">
              <a16:creationId xmlns:a16="http://schemas.microsoft.com/office/drawing/2014/main" id="{BD4033E5-2A80-4D1A-B271-BB7196C03159}"/>
            </a:ext>
          </a:extLst>
        </xdr:cNvPr>
        <xdr:cNvSpPr/>
      </xdr:nvSpPr>
      <xdr:spPr>
        <a:xfrm>
          <a:off x="2834640" y="609600"/>
          <a:ext cx="2491740" cy="769620"/>
        </a:xfrm>
        <a:prstGeom prst="roundRect">
          <a:avLst/>
        </a:prstGeom>
        <a:solidFill>
          <a:srgbClr val="40A8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BA94C912-41F9-4C80-98A1-2FEBA5984D33}" type="TxLink">
            <a:rPr lang="en-US" sz="2000">
              <a:solidFill>
                <a:schemeClr val="lt1"/>
              </a:solidFill>
              <a:latin typeface="+mn-lt"/>
              <a:ea typeface="+mn-ea"/>
              <a:cs typeface="+mn-cs"/>
            </a:rPr>
            <a:pPr marL="0" indent="0" algn="ctr"/>
            <a:t>200</a:t>
          </a:fld>
          <a:endParaRPr lang="en-IN" sz="2000">
            <a:solidFill>
              <a:schemeClr val="lt1"/>
            </a:solidFill>
            <a:latin typeface="+mn-lt"/>
            <a:ea typeface="+mn-ea"/>
            <a:cs typeface="+mn-cs"/>
          </a:endParaRPr>
        </a:p>
      </xdr:txBody>
    </xdr:sp>
    <xdr:clientData/>
  </xdr:twoCellAnchor>
  <xdr:oneCellAnchor>
    <xdr:from>
      <xdr:col>4</xdr:col>
      <xdr:colOff>556260</xdr:colOff>
      <xdr:row>3</xdr:row>
      <xdr:rowOff>129540</xdr:rowOff>
    </xdr:from>
    <xdr:ext cx="2186940" cy="335280"/>
    <xdr:sp macro="" textlink="">
      <xdr:nvSpPr>
        <xdr:cNvPr id="6" name="TextBox 5">
          <a:extLst>
            <a:ext uri="{FF2B5EF4-FFF2-40B4-BE49-F238E27FC236}">
              <a16:creationId xmlns:a16="http://schemas.microsoft.com/office/drawing/2014/main" id="{BF03905E-6A51-4487-843E-A8E415A210D7}"/>
            </a:ext>
          </a:extLst>
        </xdr:cNvPr>
        <xdr:cNvSpPr txBox="1"/>
      </xdr:nvSpPr>
      <xdr:spPr>
        <a:xfrm>
          <a:off x="2994660" y="678180"/>
          <a:ext cx="2186940" cy="3352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IN" sz="1400" b="1" baseline="0">
              <a:solidFill>
                <a:schemeClr val="tx1"/>
              </a:solidFill>
              <a:latin typeface="+mn-lt"/>
              <a:ea typeface="+mn-ea"/>
              <a:cs typeface="+mn-cs"/>
            </a:rPr>
            <a:t>TOTAL CUSTOMERS</a:t>
          </a:r>
        </a:p>
      </xdr:txBody>
    </xdr:sp>
    <xdr:clientData/>
  </xdr:oneCellAnchor>
  <xdr:twoCellAnchor>
    <xdr:from>
      <xdr:col>9</xdr:col>
      <xdr:colOff>60960</xdr:colOff>
      <xdr:row>3</xdr:row>
      <xdr:rowOff>60960</xdr:rowOff>
    </xdr:from>
    <xdr:to>
      <xdr:col>13</xdr:col>
      <xdr:colOff>91440</xdr:colOff>
      <xdr:row>7</xdr:row>
      <xdr:rowOff>99060</xdr:rowOff>
    </xdr:to>
    <xdr:sp macro="" textlink="Workbook!P4">
      <xdr:nvSpPr>
        <xdr:cNvPr id="9" name="Rectangle: Rounded Corners 8">
          <a:extLst>
            <a:ext uri="{FF2B5EF4-FFF2-40B4-BE49-F238E27FC236}">
              <a16:creationId xmlns:a16="http://schemas.microsoft.com/office/drawing/2014/main" id="{139845B6-9322-451D-BB80-444301FDB201}"/>
            </a:ext>
          </a:extLst>
        </xdr:cNvPr>
        <xdr:cNvSpPr/>
      </xdr:nvSpPr>
      <xdr:spPr>
        <a:xfrm>
          <a:off x="5547360" y="609600"/>
          <a:ext cx="2468880" cy="769620"/>
        </a:xfrm>
        <a:prstGeom prst="roundRect">
          <a:avLst/>
        </a:prstGeom>
        <a:solidFill>
          <a:srgbClr val="40A8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11CB1CA7-EDAC-48FC-945A-9A9DD573EDD3}" type="TxLink">
            <a:rPr lang="en-US" sz="2000">
              <a:solidFill>
                <a:schemeClr val="lt1"/>
              </a:solidFill>
              <a:latin typeface="+mn-lt"/>
              <a:ea typeface="+mn-ea"/>
              <a:cs typeface="+mn-cs"/>
            </a:rPr>
            <a:pPr marL="0" indent="0" algn="ctr"/>
            <a:t>47.45K</a:t>
          </a:fld>
          <a:endParaRPr lang="en-IN" sz="2000">
            <a:solidFill>
              <a:schemeClr val="lt1"/>
            </a:solidFill>
            <a:latin typeface="+mn-lt"/>
            <a:ea typeface="+mn-ea"/>
            <a:cs typeface="+mn-cs"/>
          </a:endParaRPr>
        </a:p>
      </xdr:txBody>
    </xdr:sp>
    <xdr:clientData/>
  </xdr:twoCellAnchor>
  <xdr:oneCellAnchor>
    <xdr:from>
      <xdr:col>9</xdr:col>
      <xdr:colOff>220980</xdr:colOff>
      <xdr:row>3</xdr:row>
      <xdr:rowOff>152400</xdr:rowOff>
    </xdr:from>
    <xdr:ext cx="2133600" cy="297180"/>
    <xdr:sp macro="" textlink="">
      <xdr:nvSpPr>
        <xdr:cNvPr id="10" name="TextBox 9">
          <a:extLst>
            <a:ext uri="{FF2B5EF4-FFF2-40B4-BE49-F238E27FC236}">
              <a16:creationId xmlns:a16="http://schemas.microsoft.com/office/drawing/2014/main" id="{5073E907-A549-47DB-B102-BBE83EAF766C}"/>
            </a:ext>
          </a:extLst>
        </xdr:cNvPr>
        <xdr:cNvSpPr txBox="1"/>
      </xdr:nvSpPr>
      <xdr:spPr>
        <a:xfrm>
          <a:off x="5707380" y="701040"/>
          <a:ext cx="2133600" cy="2971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r>
            <a:rPr lang="en-IN" sz="1400" b="1" baseline="0">
              <a:solidFill>
                <a:schemeClr val="tx1"/>
              </a:solidFill>
              <a:latin typeface="+mn-lt"/>
              <a:ea typeface="+mn-ea"/>
              <a:cs typeface="+mn-cs"/>
            </a:rPr>
            <a:t>AVERAGE PAYMENT</a:t>
          </a:r>
        </a:p>
      </xdr:txBody>
    </xdr:sp>
    <xdr:clientData/>
  </xdr:oneCellAnchor>
  <xdr:twoCellAnchor>
    <xdr:from>
      <xdr:col>13</xdr:col>
      <xdr:colOff>281940</xdr:colOff>
      <xdr:row>3</xdr:row>
      <xdr:rowOff>68580</xdr:rowOff>
    </xdr:from>
    <xdr:to>
      <xdr:col>17</xdr:col>
      <xdr:colOff>312420</xdr:colOff>
      <xdr:row>7</xdr:row>
      <xdr:rowOff>106680</xdr:rowOff>
    </xdr:to>
    <xdr:sp macro="" textlink="Workbook!N10">
      <xdr:nvSpPr>
        <xdr:cNvPr id="17" name="Rectangle: Rounded Corners 16">
          <a:extLst>
            <a:ext uri="{FF2B5EF4-FFF2-40B4-BE49-F238E27FC236}">
              <a16:creationId xmlns:a16="http://schemas.microsoft.com/office/drawing/2014/main" id="{9C34D0F9-1C81-4A3A-AAEA-B259D8B96244}"/>
            </a:ext>
          </a:extLst>
        </xdr:cNvPr>
        <xdr:cNvSpPr/>
      </xdr:nvSpPr>
      <xdr:spPr>
        <a:xfrm>
          <a:off x="8206740" y="617220"/>
          <a:ext cx="2468880" cy="769620"/>
        </a:xfrm>
        <a:prstGeom prst="roundRect">
          <a:avLst/>
        </a:prstGeom>
        <a:solidFill>
          <a:srgbClr val="40A8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CF25B5A1-64C8-46D6-9899-395FD46ED7FB}" type="TxLink">
            <a:rPr lang="en-US" sz="2000">
              <a:solidFill>
                <a:schemeClr val="lt1"/>
              </a:solidFill>
              <a:latin typeface="+mn-lt"/>
              <a:ea typeface="+mn-ea"/>
              <a:cs typeface="+mn-cs"/>
            </a:rPr>
            <a:pPr marL="0" indent="0" algn="ctr"/>
            <a:t>Philip</a:t>
          </a:fld>
          <a:endParaRPr lang="en-IN" sz="2000">
            <a:solidFill>
              <a:schemeClr val="lt1"/>
            </a:solidFill>
            <a:latin typeface="+mn-lt"/>
            <a:ea typeface="+mn-ea"/>
            <a:cs typeface="+mn-cs"/>
          </a:endParaRPr>
        </a:p>
      </xdr:txBody>
    </xdr:sp>
    <xdr:clientData/>
  </xdr:twoCellAnchor>
  <xdr:oneCellAnchor>
    <xdr:from>
      <xdr:col>13</xdr:col>
      <xdr:colOff>327660</xdr:colOff>
      <xdr:row>3</xdr:row>
      <xdr:rowOff>144780</xdr:rowOff>
    </xdr:from>
    <xdr:ext cx="2278380" cy="281940"/>
    <xdr:sp macro="" textlink="">
      <xdr:nvSpPr>
        <xdr:cNvPr id="20" name="TextBox 19">
          <a:extLst>
            <a:ext uri="{FF2B5EF4-FFF2-40B4-BE49-F238E27FC236}">
              <a16:creationId xmlns:a16="http://schemas.microsoft.com/office/drawing/2014/main" id="{B35008DF-E18D-DDB5-4828-9CA5B357D678}"/>
            </a:ext>
          </a:extLst>
        </xdr:cNvPr>
        <xdr:cNvSpPr txBox="1"/>
      </xdr:nvSpPr>
      <xdr:spPr>
        <a:xfrm>
          <a:off x="8252460" y="693420"/>
          <a:ext cx="227838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lgn="ctr"/>
          <a:r>
            <a:rPr lang="en-IN" sz="1400" b="1" baseline="0">
              <a:solidFill>
                <a:schemeClr val="tx1"/>
              </a:solidFill>
              <a:latin typeface="+mn-lt"/>
              <a:ea typeface="+mn-ea"/>
              <a:cs typeface="+mn-cs"/>
            </a:rPr>
            <a:t>HIGHEST PAYING CUSTOMER</a:t>
          </a:r>
        </a:p>
      </xdr:txBody>
    </xdr:sp>
    <xdr:clientData/>
  </xdr:oneCellAnchor>
  <xdr:twoCellAnchor>
    <xdr:from>
      <xdr:col>17</xdr:col>
      <xdr:colOff>457200</xdr:colOff>
      <xdr:row>3</xdr:row>
      <xdr:rowOff>68580</xdr:rowOff>
    </xdr:from>
    <xdr:to>
      <xdr:col>21</xdr:col>
      <xdr:colOff>487680</xdr:colOff>
      <xdr:row>7</xdr:row>
      <xdr:rowOff>106680</xdr:rowOff>
    </xdr:to>
    <xdr:sp macro="" textlink="Workbook!B181">
      <xdr:nvSpPr>
        <xdr:cNvPr id="21" name="Rectangle: Rounded Corners 20">
          <a:extLst>
            <a:ext uri="{FF2B5EF4-FFF2-40B4-BE49-F238E27FC236}">
              <a16:creationId xmlns:a16="http://schemas.microsoft.com/office/drawing/2014/main" id="{6CE1F645-5DBD-4E44-B85C-9C5C916A7CD4}"/>
            </a:ext>
          </a:extLst>
        </xdr:cNvPr>
        <xdr:cNvSpPr/>
      </xdr:nvSpPr>
      <xdr:spPr>
        <a:xfrm>
          <a:off x="10820400" y="617220"/>
          <a:ext cx="2468880" cy="769620"/>
        </a:xfrm>
        <a:prstGeom prst="roundRect">
          <a:avLst/>
        </a:prstGeom>
        <a:solidFill>
          <a:srgbClr val="40A8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D2C07817-6EAC-4464-99AB-C8DC0D5C0186}" type="TxLink">
            <a:rPr lang="en-US" sz="2000">
              <a:solidFill>
                <a:schemeClr val="lt1"/>
              </a:solidFill>
              <a:latin typeface="+mn-lt"/>
              <a:ea typeface="+mn-ea"/>
              <a:cs typeface="+mn-cs"/>
            </a:rPr>
            <a:pPr marL="0" indent="0" algn="ctr"/>
            <a:t>COD</a:t>
          </a:fld>
          <a:endParaRPr lang="en-IN" sz="2000">
            <a:solidFill>
              <a:schemeClr val="lt1"/>
            </a:solidFill>
            <a:latin typeface="+mn-lt"/>
            <a:ea typeface="+mn-ea"/>
            <a:cs typeface="+mn-cs"/>
          </a:endParaRPr>
        </a:p>
      </xdr:txBody>
    </xdr:sp>
    <xdr:clientData/>
  </xdr:twoCellAnchor>
  <xdr:oneCellAnchor>
    <xdr:from>
      <xdr:col>17</xdr:col>
      <xdr:colOff>525780</xdr:colOff>
      <xdr:row>3</xdr:row>
      <xdr:rowOff>144780</xdr:rowOff>
    </xdr:from>
    <xdr:ext cx="2293620" cy="312420"/>
    <xdr:sp macro="" textlink="">
      <xdr:nvSpPr>
        <xdr:cNvPr id="23" name="TextBox 22">
          <a:extLst>
            <a:ext uri="{FF2B5EF4-FFF2-40B4-BE49-F238E27FC236}">
              <a16:creationId xmlns:a16="http://schemas.microsoft.com/office/drawing/2014/main" id="{74494EB1-CF8A-BDAC-44E7-3D28FF88349B}"/>
            </a:ext>
          </a:extLst>
        </xdr:cNvPr>
        <xdr:cNvSpPr txBox="1"/>
      </xdr:nvSpPr>
      <xdr:spPr>
        <a:xfrm>
          <a:off x="10888980" y="693420"/>
          <a:ext cx="2293620" cy="3124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lgn="ctr"/>
          <a:r>
            <a:rPr lang="en-IN" sz="1400" b="1" baseline="0">
              <a:solidFill>
                <a:schemeClr val="tx1"/>
              </a:solidFill>
              <a:latin typeface="+mn-lt"/>
              <a:ea typeface="+mn-ea"/>
              <a:cs typeface="+mn-cs"/>
            </a:rPr>
            <a:t>MOST USED PAYMENT MODE</a:t>
          </a:r>
        </a:p>
      </xdr:txBody>
    </xdr:sp>
    <xdr:clientData/>
  </xdr:oneCellAnchor>
  <xdr:twoCellAnchor>
    <xdr:from>
      <xdr:col>9</xdr:col>
      <xdr:colOff>38100</xdr:colOff>
      <xdr:row>20</xdr:row>
      <xdr:rowOff>152400</xdr:rowOff>
    </xdr:from>
    <xdr:to>
      <xdr:col>20</xdr:col>
      <xdr:colOff>53340</xdr:colOff>
      <xdr:row>32</xdr:row>
      <xdr:rowOff>0</xdr:rowOff>
    </xdr:to>
    <xdr:graphicFrame macro="">
      <xdr:nvGraphicFramePr>
        <xdr:cNvPr id="24" name="Chart 23">
          <a:extLst>
            <a:ext uri="{FF2B5EF4-FFF2-40B4-BE49-F238E27FC236}">
              <a16:creationId xmlns:a16="http://schemas.microsoft.com/office/drawing/2014/main" id="{77587803-B21C-4AA0-BCBD-7D4D9FBDE1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198120</xdr:colOff>
      <xdr:row>20</xdr:row>
      <xdr:rowOff>68580</xdr:rowOff>
    </xdr:from>
    <xdr:to>
      <xdr:col>8</xdr:col>
      <xdr:colOff>388620</xdr:colOff>
      <xdr:row>32</xdr:row>
      <xdr:rowOff>45720</xdr:rowOff>
    </xdr:to>
    <xdr:graphicFrame macro="">
      <xdr:nvGraphicFramePr>
        <xdr:cNvPr id="25" name="Chart 24">
          <a:extLst>
            <a:ext uri="{FF2B5EF4-FFF2-40B4-BE49-F238E27FC236}">
              <a16:creationId xmlns:a16="http://schemas.microsoft.com/office/drawing/2014/main" id="{0F029B49-FC4C-42CF-8918-FE9D4F7C64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45720</xdr:colOff>
      <xdr:row>7</xdr:row>
      <xdr:rowOff>167640</xdr:rowOff>
    </xdr:from>
    <xdr:to>
      <xdr:col>20</xdr:col>
      <xdr:colOff>53340</xdr:colOff>
      <xdr:row>20</xdr:row>
      <xdr:rowOff>83820</xdr:rowOff>
    </xdr:to>
    <xdr:graphicFrame macro="">
      <xdr:nvGraphicFramePr>
        <xdr:cNvPr id="26" name="Chart 25">
          <a:extLst>
            <a:ext uri="{FF2B5EF4-FFF2-40B4-BE49-F238E27FC236}">
              <a16:creationId xmlns:a16="http://schemas.microsoft.com/office/drawing/2014/main" id="{673C74CE-29EB-400F-8451-E708E4CC89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228600</xdr:colOff>
      <xdr:row>7</xdr:row>
      <xdr:rowOff>167640</xdr:rowOff>
    </xdr:from>
    <xdr:to>
      <xdr:col>8</xdr:col>
      <xdr:colOff>327660</xdr:colOff>
      <xdr:row>20</xdr:row>
      <xdr:rowOff>15240</xdr:rowOff>
    </xdr:to>
    <xdr:graphicFrame macro="">
      <xdr:nvGraphicFramePr>
        <xdr:cNvPr id="27" name="Chart 26">
          <a:extLst>
            <a:ext uri="{FF2B5EF4-FFF2-40B4-BE49-F238E27FC236}">
              <a16:creationId xmlns:a16="http://schemas.microsoft.com/office/drawing/2014/main" id="{216E9E9A-74A8-4AB1-9E1A-48068C14BD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45720</xdr:rowOff>
    </xdr:from>
    <xdr:to>
      <xdr:col>22</xdr:col>
      <xdr:colOff>495300</xdr:colOff>
      <xdr:row>4</xdr:row>
      <xdr:rowOff>30480</xdr:rowOff>
    </xdr:to>
    <xdr:sp macro="" textlink="">
      <xdr:nvSpPr>
        <xdr:cNvPr id="2" name="Rectangle: Rounded Corners 1">
          <a:extLst>
            <a:ext uri="{FF2B5EF4-FFF2-40B4-BE49-F238E27FC236}">
              <a16:creationId xmlns:a16="http://schemas.microsoft.com/office/drawing/2014/main" id="{3138B984-A175-4E00-BA77-BAF03688534F}"/>
            </a:ext>
          </a:extLst>
        </xdr:cNvPr>
        <xdr:cNvSpPr/>
      </xdr:nvSpPr>
      <xdr:spPr>
        <a:xfrm>
          <a:off x="0" y="45720"/>
          <a:ext cx="13906500" cy="716280"/>
        </a:xfrm>
        <a:prstGeom prst="roundRect">
          <a:avLst>
            <a:gd name="adj" fmla="val 32381"/>
          </a:avLst>
        </a:prstGeom>
        <a:solidFill>
          <a:srgbClr val="40A8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3200">
              <a:solidFill>
                <a:schemeClr val="lt1"/>
              </a:solidFill>
              <a:latin typeface="+mn-lt"/>
              <a:ea typeface="+mn-ea"/>
              <a:cs typeface="+mn-cs"/>
            </a:rPr>
            <a:t>SHIPMENT &amp; LOGISTICS DASHBOARD</a:t>
          </a:r>
        </a:p>
      </xdr:txBody>
    </xdr:sp>
    <xdr:clientData/>
  </xdr:twoCellAnchor>
  <xdr:twoCellAnchor>
    <xdr:from>
      <xdr:col>0</xdr:col>
      <xdr:colOff>205740</xdr:colOff>
      <xdr:row>4</xdr:row>
      <xdr:rowOff>68580</xdr:rowOff>
    </xdr:from>
    <xdr:to>
      <xdr:col>4</xdr:col>
      <xdr:colOff>358140</xdr:colOff>
      <xdr:row>8</xdr:row>
      <xdr:rowOff>104987</xdr:rowOff>
    </xdr:to>
    <xdr:sp macro="" textlink="Workbook!L4">
      <xdr:nvSpPr>
        <xdr:cNvPr id="13" name="Rectangle: Rounded Corners 12">
          <a:extLst>
            <a:ext uri="{FF2B5EF4-FFF2-40B4-BE49-F238E27FC236}">
              <a16:creationId xmlns:a16="http://schemas.microsoft.com/office/drawing/2014/main" id="{AF79DB98-BEE6-4E74-B644-732E4754E435}"/>
            </a:ext>
          </a:extLst>
        </xdr:cNvPr>
        <xdr:cNvSpPr/>
      </xdr:nvSpPr>
      <xdr:spPr>
        <a:xfrm>
          <a:off x="205740" y="800100"/>
          <a:ext cx="2590800" cy="767927"/>
        </a:xfrm>
        <a:prstGeom prst="roundRect">
          <a:avLst/>
        </a:prstGeom>
        <a:solidFill>
          <a:srgbClr val="40A8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13C063DE-9523-4DFE-9766-F4E6C0C69F00}" type="TxLink">
            <a:rPr lang="en-US" sz="2000">
              <a:solidFill>
                <a:schemeClr val="lt1"/>
              </a:solidFill>
              <a:latin typeface="+mn-lt"/>
              <a:ea typeface="+mn-ea"/>
              <a:cs typeface="+mn-cs"/>
            </a:rPr>
            <a:pPr marL="0" indent="0" algn="ctr"/>
            <a:t>200</a:t>
          </a:fld>
          <a:endParaRPr lang="en-IN" sz="2000">
            <a:solidFill>
              <a:schemeClr val="lt1"/>
            </a:solidFill>
            <a:latin typeface="+mn-lt"/>
            <a:ea typeface="+mn-ea"/>
            <a:cs typeface="+mn-cs"/>
          </a:endParaRPr>
        </a:p>
      </xdr:txBody>
    </xdr:sp>
    <xdr:clientData/>
  </xdr:twoCellAnchor>
  <xdr:oneCellAnchor>
    <xdr:from>
      <xdr:col>0</xdr:col>
      <xdr:colOff>304800</xdr:colOff>
      <xdr:row>4</xdr:row>
      <xdr:rowOff>114300</xdr:rowOff>
    </xdr:from>
    <xdr:ext cx="2354580" cy="327660"/>
    <xdr:sp macro="" textlink="">
      <xdr:nvSpPr>
        <xdr:cNvPr id="14" name="TextBox 13">
          <a:extLst>
            <a:ext uri="{FF2B5EF4-FFF2-40B4-BE49-F238E27FC236}">
              <a16:creationId xmlns:a16="http://schemas.microsoft.com/office/drawing/2014/main" id="{FF78FB8C-C59C-4852-B5B4-D3DE7705B39F}"/>
            </a:ext>
          </a:extLst>
        </xdr:cNvPr>
        <xdr:cNvSpPr txBox="1"/>
      </xdr:nvSpPr>
      <xdr:spPr>
        <a:xfrm>
          <a:off x="304800" y="845820"/>
          <a:ext cx="2354580" cy="3276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IN" sz="1400" b="1" baseline="0">
              <a:solidFill>
                <a:schemeClr val="tx1"/>
              </a:solidFill>
              <a:latin typeface="+mn-lt"/>
              <a:ea typeface="+mn-ea"/>
              <a:cs typeface="+mn-cs"/>
            </a:rPr>
            <a:t>TOTAL SHIPMENT</a:t>
          </a:r>
        </a:p>
      </xdr:txBody>
    </xdr:sp>
    <xdr:clientData/>
  </xdr:oneCellAnchor>
  <xdr:twoCellAnchor>
    <xdr:from>
      <xdr:col>4</xdr:col>
      <xdr:colOff>586740</xdr:colOff>
      <xdr:row>4</xdr:row>
      <xdr:rowOff>83820</xdr:rowOff>
    </xdr:from>
    <xdr:to>
      <xdr:col>9</xdr:col>
      <xdr:colOff>297180</xdr:colOff>
      <xdr:row>8</xdr:row>
      <xdr:rowOff>112607</xdr:rowOff>
    </xdr:to>
    <xdr:sp macro="" textlink="Workbook!K7">
      <xdr:nvSpPr>
        <xdr:cNvPr id="16" name="Rectangle: Rounded Corners 15">
          <a:extLst>
            <a:ext uri="{FF2B5EF4-FFF2-40B4-BE49-F238E27FC236}">
              <a16:creationId xmlns:a16="http://schemas.microsoft.com/office/drawing/2014/main" id="{BAD3D937-DA7D-4807-B38D-1DBC067BA010}"/>
            </a:ext>
          </a:extLst>
        </xdr:cNvPr>
        <xdr:cNvSpPr/>
      </xdr:nvSpPr>
      <xdr:spPr>
        <a:xfrm>
          <a:off x="3025140" y="815340"/>
          <a:ext cx="2758440" cy="760307"/>
        </a:xfrm>
        <a:prstGeom prst="roundRect">
          <a:avLst/>
        </a:prstGeom>
        <a:solidFill>
          <a:srgbClr val="40A8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DE3C3ACD-C061-4EC0-A7EC-DF9F0C1C9538}" type="TxLink">
            <a:rPr lang="en-US" sz="2000">
              <a:solidFill>
                <a:schemeClr val="lt1"/>
              </a:solidFill>
              <a:latin typeface="+mn-lt"/>
              <a:ea typeface="+mn-ea"/>
              <a:cs typeface="+mn-cs"/>
            </a:rPr>
            <a:pPr marL="0" indent="0" algn="ctr"/>
            <a:t>522.02</a:t>
          </a:fld>
          <a:endParaRPr lang="en-IN" sz="2000">
            <a:solidFill>
              <a:schemeClr val="lt1"/>
            </a:solidFill>
            <a:latin typeface="+mn-lt"/>
            <a:ea typeface="+mn-ea"/>
            <a:cs typeface="+mn-cs"/>
          </a:endParaRPr>
        </a:p>
      </xdr:txBody>
    </xdr:sp>
    <xdr:clientData/>
  </xdr:twoCellAnchor>
  <xdr:oneCellAnchor>
    <xdr:from>
      <xdr:col>5</xdr:col>
      <xdr:colOff>175260</xdr:colOff>
      <xdr:row>4</xdr:row>
      <xdr:rowOff>114300</xdr:rowOff>
    </xdr:from>
    <xdr:ext cx="2369820" cy="312420"/>
    <xdr:sp macro="" textlink="">
      <xdr:nvSpPr>
        <xdr:cNvPr id="17" name="TextBox 16">
          <a:extLst>
            <a:ext uri="{FF2B5EF4-FFF2-40B4-BE49-F238E27FC236}">
              <a16:creationId xmlns:a16="http://schemas.microsoft.com/office/drawing/2014/main" id="{841611A8-6378-4B35-8C6E-9A4E807AD92E}"/>
            </a:ext>
          </a:extLst>
        </xdr:cNvPr>
        <xdr:cNvSpPr txBox="1"/>
      </xdr:nvSpPr>
      <xdr:spPr>
        <a:xfrm>
          <a:off x="3223260" y="845820"/>
          <a:ext cx="2369820" cy="3124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r>
            <a:rPr lang="en-IN" sz="1400" b="1" baseline="0">
              <a:solidFill>
                <a:schemeClr val="tx1"/>
              </a:solidFill>
              <a:latin typeface="+mn-lt"/>
              <a:ea typeface="+mn-ea"/>
              <a:cs typeface="+mn-cs"/>
            </a:rPr>
            <a:t>AVG SHIPMENT WEIGHT</a:t>
          </a:r>
        </a:p>
      </xdr:txBody>
    </xdr:sp>
    <xdr:clientData/>
  </xdr:oneCellAnchor>
  <xdr:twoCellAnchor>
    <xdr:from>
      <xdr:col>9</xdr:col>
      <xdr:colOff>502920</xdr:colOff>
      <xdr:row>4</xdr:row>
      <xdr:rowOff>91440</xdr:rowOff>
    </xdr:from>
    <xdr:to>
      <xdr:col>14</xdr:col>
      <xdr:colOff>320040</xdr:colOff>
      <xdr:row>8</xdr:row>
      <xdr:rowOff>112607</xdr:rowOff>
    </xdr:to>
    <xdr:sp macro="" textlink="Workbook!T4">
      <xdr:nvSpPr>
        <xdr:cNvPr id="18" name="Rectangle: Rounded Corners 17">
          <a:extLst>
            <a:ext uri="{FF2B5EF4-FFF2-40B4-BE49-F238E27FC236}">
              <a16:creationId xmlns:a16="http://schemas.microsoft.com/office/drawing/2014/main" id="{4DE0CD70-E4D1-4133-9311-48ADC783B5E1}"/>
            </a:ext>
          </a:extLst>
        </xdr:cNvPr>
        <xdr:cNvSpPr/>
      </xdr:nvSpPr>
      <xdr:spPr>
        <a:xfrm>
          <a:off x="5989320" y="822960"/>
          <a:ext cx="2865120" cy="752687"/>
        </a:xfrm>
        <a:prstGeom prst="roundRect">
          <a:avLst/>
        </a:prstGeom>
        <a:solidFill>
          <a:srgbClr val="40A8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A58A9BDD-E5C9-420B-9E48-D3F80FBB84A0}" type="TxLink">
            <a:rPr lang="en-US" sz="2000">
              <a:solidFill>
                <a:schemeClr val="lt1"/>
              </a:solidFill>
              <a:latin typeface="+mn-lt"/>
              <a:ea typeface="+mn-ea"/>
              <a:cs typeface="+mn-cs"/>
            </a:rPr>
            <a:pPr marL="0" indent="0" algn="ctr"/>
            <a:t>937.97</a:t>
          </a:fld>
          <a:endParaRPr lang="en-IN" sz="2000">
            <a:solidFill>
              <a:schemeClr val="lt1"/>
            </a:solidFill>
            <a:latin typeface="+mn-lt"/>
            <a:ea typeface="+mn-ea"/>
            <a:cs typeface="+mn-cs"/>
          </a:endParaRPr>
        </a:p>
      </xdr:txBody>
    </xdr:sp>
    <xdr:clientData/>
  </xdr:twoCellAnchor>
  <xdr:oneCellAnchor>
    <xdr:from>
      <xdr:col>10</xdr:col>
      <xdr:colOff>190500</xdr:colOff>
      <xdr:row>4</xdr:row>
      <xdr:rowOff>144780</xdr:rowOff>
    </xdr:from>
    <xdr:ext cx="2339340" cy="304800"/>
    <xdr:sp macro="" textlink="">
      <xdr:nvSpPr>
        <xdr:cNvPr id="19" name="TextBox 18">
          <a:extLst>
            <a:ext uri="{FF2B5EF4-FFF2-40B4-BE49-F238E27FC236}">
              <a16:creationId xmlns:a16="http://schemas.microsoft.com/office/drawing/2014/main" id="{65B7D531-317C-4740-B032-2708313DF952}"/>
            </a:ext>
          </a:extLst>
        </xdr:cNvPr>
        <xdr:cNvSpPr txBox="1"/>
      </xdr:nvSpPr>
      <xdr:spPr>
        <a:xfrm>
          <a:off x="6286500" y="876300"/>
          <a:ext cx="2339340"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r>
            <a:rPr lang="en-IN" sz="1400" b="1" baseline="0">
              <a:solidFill>
                <a:schemeClr val="tx1"/>
              </a:solidFill>
              <a:latin typeface="+mn-lt"/>
              <a:ea typeface="+mn-ea"/>
              <a:cs typeface="+mn-cs"/>
            </a:rPr>
            <a:t>AVG SHIPMENT CHARGE</a:t>
          </a:r>
        </a:p>
      </xdr:txBody>
    </xdr:sp>
    <xdr:clientData/>
  </xdr:oneCellAnchor>
  <xdr:twoCellAnchor>
    <xdr:from>
      <xdr:col>14</xdr:col>
      <xdr:colOff>495300</xdr:colOff>
      <xdr:row>4</xdr:row>
      <xdr:rowOff>91440</xdr:rowOff>
    </xdr:from>
    <xdr:to>
      <xdr:col>19</xdr:col>
      <xdr:colOff>213360</xdr:colOff>
      <xdr:row>8</xdr:row>
      <xdr:rowOff>120227</xdr:rowOff>
    </xdr:to>
    <xdr:sp macro="" textlink="Workbook!G7">
      <xdr:nvSpPr>
        <xdr:cNvPr id="20" name="Rectangle: Rounded Corners 19">
          <a:extLst>
            <a:ext uri="{FF2B5EF4-FFF2-40B4-BE49-F238E27FC236}">
              <a16:creationId xmlns:a16="http://schemas.microsoft.com/office/drawing/2014/main" id="{8981D00A-DEF1-4A8A-BF0D-2F14DDE03907}"/>
            </a:ext>
          </a:extLst>
        </xdr:cNvPr>
        <xdr:cNvSpPr/>
      </xdr:nvSpPr>
      <xdr:spPr>
        <a:xfrm>
          <a:off x="9029700" y="822960"/>
          <a:ext cx="2766060" cy="760307"/>
        </a:xfrm>
        <a:prstGeom prst="roundRect">
          <a:avLst/>
        </a:prstGeom>
        <a:solidFill>
          <a:srgbClr val="40A8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421BD6AF-13F8-4BEA-B58D-FB68E246E6E2}" type="TxLink">
            <a:rPr lang="en-US" sz="2000">
              <a:solidFill>
                <a:schemeClr val="lt1"/>
              </a:solidFill>
              <a:latin typeface="+mn-lt"/>
              <a:ea typeface="+mn-ea"/>
              <a:cs typeface="+mn-cs"/>
            </a:rPr>
            <a:pPr marL="0" indent="0" algn="ctr"/>
            <a:t>100</a:t>
          </a:fld>
          <a:endParaRPr lang="en-IN" sz="2000">
            <a:solidFill>
              <a:schemeClr val="lt1"/>
            </a:solidFill>
            <a:latin typeface="+mn-lt"/>
            <a:ea typeface="+mn-ea"/>
            <a:cs typeface="+mn-cs"/>
          </a:endParaRPr>
        </a:p>
      </xdr:txBody>
    </xdr:sp>
    <xdr:clientData/>
  </xdr:twoCellAnchor>
  <xdr:oneCellAnchor>
    <xdr:from>
      <xdr:col>15</xdr:col>
      <xdr:colOff>182880</xdr:colOff>
      <xdr:row>4</xdr:row>
      <xdr:rowOff>144780</xdr:rowOff>
    </xdr:from>
    <xdr:ext cx="2095500" cy="312420"/>
    <xdr:sp macro="" textlink="">
      <xdr:nvSpPr>
        <xdr:cNvPr id="22" name="TextBox 21">
          <a:extLst>
            <a:ext uri="{FF2B5EF4-FFF2-40B4-BE49-F238E27FC236}">
              <a16:creationId xmlns:a16="http://schemas.microsoft.com/office/drawing/2014/main" id="{74E5FD27-2AE4-42BF-A9BF-ED686A7D9070}"/>
            </a:ext>
          </a:extLst>
        </xdr:cNvPr>
        <xdr:cNvSpPr txBox="1"/>
      </xdr:nvSpPr>
      <xdr:spPr>
        <a:xfrm>
          <a:off x="9326880" y="876300"/>
          <a:ext cx="2095500" cy="3124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lgn="ctr"/>
          <a:r>
            <a:rPr lang="en-IN" sz="1400" b="1" baseline="0">
              <a:solidFill>
                <a:schemeClr val="tx1"/>
              </a:solidFill>
              <a:latin typeface="+mn-lt"/>
              <a:ea typeface="+mn-ea"/>
              <a:cs typeface="+mn-cs"/>
            </a:rPr>
            <a:t>DELIVERED SHIPMENT</a:t>
          </a:r>
        </a:p>
        <a:p>
          <a:pPr marL="0" indent="0" algn="ctr"/>
          <a:endParaRPr lang="en-IN" sz="1400" b="1" baseline="0">
            <a:solidFill>
              <a:schemeClr val="tx1"/>
            </a:solidFill>
            <a:latin typeface="+mn-lt"/>
            <a:ea typeface="+mn-ea"/>
            <a:cs typeface="+mn-cs"/>
          </a:endParaRPr>
        </a:p>
      </xdr:txBody>
    </xdr:sp>
    <xdr:clientData/>
  </xdr:oneCellAnchor>
  <xdr:twoCellAnchor>
    <xdr:from>
      <xdr:col>19</xdr:col>
      <xdr:colOff>327660</xdr:colOff>
      <xdr:row>4</xdr:row>
      <xdr:rowOff>91440</xdr:rowOff>
    </xdr:from>
    <xdr:to>
      <xdr:col>22</xdr:col>
      <xdr:colOff>579120</xdr:colOff>
      <xdr:row>8</xdr:row>
      <xdr:rowOff>120227</xdr:rowOff>
    </xdr:to>
    <xdr:sp macro="" textlink="Workbook!$C$7">
      <xdr:nvSpPr>
        <xdr:cNvPr id="23" name="Rectangle: Rounded Corners 22">
          <a:extLst>
            <a:ext uri="{FF2B5EF4-FFF2-40B4-BE49-F238E27FC236}">
              <a16:creationId xmlns:a16="http://schemas.microsoft.com/office/drawing/2014/main" id="{5642F297-B600-4F9B-BA62-B7889360A96E}"/>
            </a:ext>
          </a:extLst>
        </xdr:cNvPr>
        <xdr:cNvSpPr/>
      </xdr:nvSpPr>
      <xdr:spPr>
        <a:xfrm>
          <a:off x="11910060" y="822960"/>
          <a:ext cx="2080260" cy="760307"/>
        </a:xfrm>
        <a:prstGeom prst="roundRect">
          <a:avLst/>
        </a:prstGeom>
        <a:solidFill>
          <a:srgbClr val="40A8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CFC19274-478D-42BC-8525-2733B10F0435}" type="TxLink">
            <a:rPr lang="en-US" sz="2000">
              <a:solidFill>
                <a:schemeClr val="lt1"/>
              </a:solidFill>
              <a:latin typeface="+mn-lt"/>
              <a:ea typeface="+mn-ea"/>
              <a:cs typeface="+mn-cs"/>
            </a:rPr>
            <a:pPr marL="0" indent="0" algn="ctr"/>
            <a:t>0.543</a:t>
          </a:fld>
          <a:endParaRPr lang="en-IN" sz="2000">
            <a:solidFill>
              <a:schemeClr val="lt1"/>
            </a:solidFill>
            <a:latin typeface="+mn-lt"/>
            <a:ea typeface="+mn-ea"/>
            <a:cs typeface="+mn-cs"/>
          </a:endParaRPr>
        </a:p>
      </xdr:txBody>
    </xdr:sp>
    <xdr:clientData/>
  </xdr:twoCellAnchor>
  <xdr:oneCellAnchor>
    <xdr:from>
      <xdr:col>19</xdr:col>
      <xdr:colOff>259080</xdr:colOff>
      <xdr:row>4</xdr:row>
      <xdr:rowOff>144780</xdr:rowOff>
    </xdr:from>
    <xdr:ext cx="2148840" cy="335280"/>
    <xdr:sp macro="" textlink="">
      <xdr:nvSpPr>
        <xdr:cNvPr id="24" name="TextBox 23">
          <a:extLst>
            <a:ext uri="{FF2B5EF4-FFF2-40B4-BE49-F238E27FC236}">
              <a16:creationId xmlns:a16="http://schemas.microsoft.com/office/drawing/2014/main" id="{A82B3FA8-C245-46DA-AF74-44604026A0A3}"/>
            </a:ext>
          </a:extLst>
        </xdr:cNvPr>
        <xdr:cNvSpPr txBox="1"/>
      </xdr:nvSpPr>
      <xdr:spPr>
        <a:xfrm>
          <a:off x="11841480" y="876300"/>
          <a:ext cx="2148840" cy="3352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lgn="ctr"/>
          <a:r>
            <a:rPr lang="en-IN" sz="1400" b="1" baseline="0">
              <a:solidFill>
                <a:schemeClr val="tx1"/>
              </a:solidFill>
              <a:latin typeface="+mn-lt"/>
              <a:ea typeface="+mn-ea"/>
              <a:cs typeface="+mn-cs"/>
            </a:rPr>
            <a:t>  AVG SHIPMENT EFFICIENCY</a:t>
          </a:r>
        </a:p>
        <a:p>
          <a:pPr marL="0" indent="0" algn="ctr"/>
          <a:endParaRPr lang="en-IN" sz="1400" b="1" baseline="0">
            <a:solidFill>
              <a:schemeClr val="tx1"/>
            </a:solidFill>
            <a:latin typeface="+mn-lt"/>
            <a:ea typeface="+mn-ea"/>
            <a:cs typeface="+mn-cs"/>
          </a:endParaRPr>
        </a:p>
      </xdr:txBody>
    </xdr:sp>
    <xdr:clientData/>
  </xdr:oneCellAnchor>
  <xdr:twoCellAnchor>
    <xdr:from>
      <xdr:col>0</xdr:col>
      <xdr:colOff>175260</xdr:colOff>
      <xdr:row>9</xdr:row>
      <xdr:rowOff>0</xdr:rowOff>
    </xdr:from>
    <xdr:to>
      <xdr:col>5</xdr:col>
      <xdr:colOff>274320</xdr:colOff>
      <xdr:row>23</xdr:row>
      <xdr:rowOff>144780</xdr:rowOff>
    </xdr:to>
    <xdr:graphicFrame macro="">
      <xdr:nvGraphicFramePr>
        <xdr:cNvPr id="3" name="Chart 2">
          <a:extLst>
            <a:ext uri="{FF2B5EF4-FFF2-40B4-BE49-F238E27FC236}">
              <a16:creationId xmlns:a16="http://schemas.microsoft.com/office/drawing/2014/main" id="{DB3D3E78-7940-4BFB-A6ED-15AEFA6819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502920</xdr:colOff>
      <xdr:row>9</xdr:row>
      <xdr:rowOff>129540</xdr:rowOff>
    </xdr:from>
    <xdr:to>
      <xdr:col>22</xdr:col>
      <xdr:colOff>175260</xdr:colOff>
      <xdr:row>23</xdr:row>
      <xdr:rowOff>129540</xdr:rowOff>
    </xdr:to>
    <xdr:graphicFrame macro="">
      <xdr:nvGraphicFramePr>
        <xdr:cNvPr id="5" name="Chart 4">
          <a:extLst>
            <a:ext uri="{FF2B5EF4-FFF2-40B4-BE49-F238E27FC236}">
              <a16:creationId xmlns:a16="http://schemas.microsoft.com/office/drawing/2014/main" id="{6A00869F-CAE0-4F23-8B02-F7CFB4930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548640</xdr:colOff>
      <xdr:row>9</xdr:row>
      <xdr:rowOff>76200</xdr:rowOff>
    </xdr:from>
    <xdr:to>
      <xdr:col>16</xdr:col>
      <xdr:colOff>320040</xdr:colOff>
      <xdr:row>23</xdr:row>
      <xdr:rowOff>114300</xdr:rowOff>
    </xdr:to>
    <xdr:graphicFrame macro="">
      <xdr:nvGraphicFramePr>
        <xdr:cNvPr id="6" name="Chart 5">
          <a:extLst>
            <a:ext uri="{FF2B5EF4-FFF2-40B4-BE49-F238E27FC236}">
              <a16:creationId xmlns:a16="http://schemas.microsoft.com/office/drawing/2014/main" id="{0E45E75A-D516-4FE1-BD8E-83908DBC6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160020</xdr:colOff>
      <xdr:row>23</xdr:row>
      <xdr:rowOff>175260</xdr:rowOff>
    </xdr:from>
    <xdr:to>
      <xdr:col>9</xdr:col>
      <xdr:colOff>441960</xdr:colOff>
      <xdr:row>37</xdr:row>
      <xdr:rowOff>106680</xdr:rowOff>
    </xdr:to>
    <xdr:graphicFrame macro="">
      <xdr:nvGraphicFramePr>
        <xdr:cNvPr id="7" name="Chart 6">
          <a:extLst>
            <a:ext uri="{FF2B5EF4-FFF2-40B4-BE49-F238E27FC236}">
              <a16:creationId xmlns:a16="http://schemas.microsoft.com/office/drawing/2014/main" id="{819DAF6B-BF80-44A3-911B-867F34A5B0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525780</xdr:colOff>
      <xdr:row>23</xdr:row>
      <xdr:rowOff>160020</xdr:rowOff>
    </xdr:from>
    <xdr:to>
      <xdr:col>18</xdr:col>
      <xdr:colOff>121920</xdr:colOff>
      <xdr:row>37</xdr:row>
      <xdr:rowOff>137160</xdr:rowOff>
    </xdr:to>
    <xdr:graphicFrame macro="">
      <xdr:nvGraphicFramePr>
        <xdr:cNvPr id="8" name="Chart 7">
          <a:extLst>
            <a:ext uri="{FF2B5EF4-FFF2-40B4-BE49-F238E27FC236}">
              <a16:creationId xmlns:a16="http://schemas.microsoft.com/office/drawing/2014/main" id="{C77B8A25-E31F-463F-9228-97A4403637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xdr:colOff>
      <xdr:row>0</xdr:row>
      <xdr:rowOff>45720</xdr:rowOff>
    </xdr:from>
    <xdr:to>
      <xdr:col>21</xdr:col>
      <xdr:colOff>1453817</xdr:colOff>
      <xdr:row>4</xdr:row>
      <xdr:rowOff>30480</xdr:rowOff>
    </xdr:to>
    <xdr:sp macro="" textlink="">
      <xdr:nvSpPr>
        <xdr:cNvPr id="2" name="Rectangle: Rounded Corners 1">
          <a:extLst>
            <a:ext uri="{FF2B5EF4-FFF2-40B4-BE49-F238E27FC236}">
              <a16:creationId xmlns:a16="http://schemas.microsoft.com/office/drawing/2014/main" id="{54F2204A-7655-436E-95AF-B473A58E3F62}"/>
            </a:ext>
          </a:extLst>
        </xdr:cNvPr>
        <xdr:cNvSpPr/>
      </xdr:nvSpPr>
      <xdr:spPr>
        <a:xfrm>
          <a:off x="1" y="45720"/>
          <a:ext cx="14217316" cy="706655"/>
        </a:xfrm>
        <a:prstGeom prst="roundRect">
          <a:avLst>
            <a:gd name="adj" fmla="val 32381"/>
          </a:avLst>
        </a:prstGeom>
        <a:solidFill>
          <a:srgbClr val="40A8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3200">
              <a:solidFill>
                <a:schemeClr val="lt1"/>
              </a:solidFill>
              <a:latin typeface="+mn-lt"/>
              <a:ea typeface="+mn-ea"/>
              <a:cs typeface="+mn-cs"/>
            </a:rPr>
            <a:t>EMPLOYEE PERFORMANCE DASHBOARD</a:t>
          </a:r>
        </a:p>
      </xdr:txBody>
    </xdr:sp>
    <xdr:clientData/>
  </xdr:twoCellAnchor>
  <xdr:twoCellAnchor>
    <xdr:from>
      <xdr:col>0</xdr:col>
      <xdr:colOff>205740</xdr:colOff>
      <xdr:row>4</xdr:row>
      <xdr:rowOff>68580</xdr:rowOff>
    </xdr:from>
    <xdr:to>
      <xdr:col>4</xdr:col>
      <xdr:colOff>358140</xdr:colOff>
      <xdr:row>8</xdr:row>
      <xdr:rowOff>104987</xdr:rowOff>
    </xdr:to>
    <xdr:sp macro="" textlink="Workbook!L4">
      <xdr:nvSpPr>
        <xdr:cNvPr id="3" name="Rectangle: Rounded Corners 2">
          <a:extLst>
            <a:ext uri="{FF2B5EF4-FFF2-40B4-BE49-F238E27FC236}">
              <a16:creationId xmlns:a16="http://schemas.microsoft.com/office/drawing/2014/main" id="{B43B2B83-410E-470A-BCC5-C7B3A6D46C90}"/>
            </a:ext>
          </a:extLst>
        </xdr:cNvPr>
        <xdr:cNvSpPr/>
      </xdr:nvSpPr>
      <xdr:spPr>
        <a:xfrm>
          <a:off x="205740" y="800100"/>
          <a:ext cx="2590800" cy="767927"/>
        </a:xfrm>
        <a:prstGeom prst="roundRect">
          <a:avLst/>
        </a:prstGeom>
        <a:solidFill>
          <a:srgbClr val="40A8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13C063DE-9523-4DFE-9766-F4E6C0C69F00}" type="TxLink">
            <a:rPr lang="en-US" sz="2000">
              <a:solidFill>
                <a:schemeClr val="lt1"/>
              </a:solidFill>
              <a:latin typeface="+mn-lt"/>
              <a:ea typeface="+mn-ea"/>
              <a:cs typeface="+mn-cs"/>
            </a:rPr>
            <a:pPr marL="0" indent="0" algn="ctr"/>
            <a:t>200</a:t>
          </a:fld>
          <a:endParaRPr lang="en-IN" sz="2000">
            <a:solidFill>
              <a:schemeClr val="lt1"/>
            </a:solidFill>
            <a:latin typeface="+mn-lt"/>
            <a:ea typeface="+mn-ea"/>
            <a:cs typeface="+mn-cs"/>
          </a:endParaRPr>
        </a:p>
      </xdr:txBody>
    </xdr:sp>
    <xdr:clientData/>
  </xdr:twoCellAnchor>
  <xdr:oneCellAnchor>
    <xdr:from>
      <xdr:col>0</xdr:col>
      <xdr:colOff>304800</xdr:colOff>
      <xdr:row>4</xdr:row>
      <xdr:rowOff>114300</xdr:rowOff>
    </xdr:from>
    <xdr:ext cx="2354580" cy="327660"/>
    <xdr:sp macro="" textlink="">
      <xdr:nvSpPr>
        <xdr:cNvPr id="4" name="TextBox 3">
          <a:extLst>
            <a:ext uri="{FF2B5EF4-FFF2-40B4-BE49-F238E27FC236}">
              <a16:creationId xmlns:a16="http://schemas.microsoft.com/office/drawing/2014/main" id="{79174144-F346-4933-B29E-2B7F595DC433}"/>
            </a:ext>
          </a:extLst>
        </xdr:cNvPr>
        <xdr:cNvSpPr txBox="1"/>
      </xdr:nvSpPr>
      <xdr:spPr>
        <a:xfrm>
          <a:off x="304800" y="845820"/>
          <a:ext cx="2354580" cy="3276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IN" sz="1400" b="1" baseline="0">
              <a:solidFill>
                <a:schemeClr val="tx1"/>
              </a:solidFill>
              <a:latin typeface="+mn-lt"/>
              <a:ea typeface="+mn-ea"/>
              <a:cs typeface="+mn-cs"/>
            </a:rPr>
            <a:t>TOTAL SHIPMENT</a:t>
          </a:r>
        </a:p>
      </xdr:txBody>
    </xdr:sp>
    <xdr:clientData/>
  </xdr:oneCellAnchor>
  <xdr:twoCellAnchor>
    <xdr:from>
      <xdr:col>4</xdr:col>
      <xdr:colOff>586740</xdr:colOff>
      <xdr:row>4</xdr:row>
      <xdr:rowOff>83820</xdr:rowOff>
    </xdr:from>
    <xdr:to>
      <xdr:col>9</xdr:col>
      <xdr:colOff>297180</xdr:colOff>
      <xdr:row>8</xdr:row>
      <xdr:rowOff>112607</xdr:rowOff>
    </xdr:to>
    <xdr:sp macro="" textlink="Workbook!K7">
      <xdr:nvSpPr>
        <xdr:cNvPr id="5" name="Rectangle: Rounded Corners 4">
          <a:extLst>
            <a:ext uri="{FF2B5EF4-FFF2-40B4-BE49-F238E27FC236}">
              <a16:creationId xmlns:a16="http://schemas.microsoft.com/office/drawing/2014/main" id="{5AD20C30-B903-4D01-B0D0-A10397ACBCBC}"/>
            </a:ext>
          </a:extLst>
        </xdr:cNvPr>
        <xdr:cNvSpPr/>
      </xdr:nvSpPr>
      <xdr:spPr>
        <a:xfrm>
          <a:off x="3025140" y="815340"/>
          <a:ext cx="2758440" cy="760307"/>
        </a:xfrm>
        <a:prstGeom prst="roundRect">
          <a:avLst/>
        </a:prstGeom>
        <a:solidFill>
          <a:srgbClr val="40A8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DE3C3ACD-C061-4EC0-A7EC-DF9F0C1C9538}" type="TxLink">
            <a:rPr lang="en-US" sz="2000">
              <a:solidFill>
                <a:schemeClr val="lt1"/>
              </a:solidFill>
              <a:latin typeface="+mn-lt"/>
              <a:ea typeface="+mn-ea"/>
              <a:cs typeface="+mn-cs"/>
            </a:rPr>
            <a:pPr marL="0" indent="0" algn="ctr"/>
            <a:t>522.02</a:t>
          </a:fld>
          <a:endParaRPr lang="en-IN" sz="2000">
            <a:solidFill>
              <a:schemeClr val="lt1"/>
            </a:solidFill>
            <a:latin typeface="+mn-lt"/>
            <a:ea typeface="+mn-ea"/>
            <a:cs typeface="+mn-cs"/>
          </a:endParaRPr>
        </a:p>
      </xdr:txBody>
    </xdr:sp>
    <xdr:clientData/>
  </xdr:twoCellAnchor>
  <xdr:oneCellAnchor>
    <xdr:from>
      <xdr:col>5</xdr:col>
      <xdr:colOff>175260</xdr:colOff>
      <xdr:row>4</xdr:row>
      <xdr:rowOff>114300</xdr:rowOff>
    </xdr:from>
    <xdr:ext cx="2369820" cy="312420"/>
    <xdr:sp macro="" textlink="">
      <xdr:nvSpPr>
        <xdr:cNvPr id="6" name="TextBox 5">
          <a:extLst>
            <a:ext uri="{FF2B5EF4-FFF2-40B4-BE49-F238E27FC236}">
              <a16:creationId xmlns:a16="http://schemas.microsoft.com/office/drawing/2014/main" id="{966067F0-1007-4969-8B85-AE527F2FF5F2}"/>
            </a:ext>
          </a:extLst>
        </xdr:cNvPr>
        <xdr:cNvSpPr txBox="1"/>
      </xdr:nvSpPr>
      <xdr:spPr>
        <a:xfrm>
          <a:off x="3223260" y="845820"/>
          <a:ext cx="2369820" cy="3124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r>
            <a:rPr lang="en-IN" sz="1400" b="1" baseline="0">
              <a:solidFill>
                <a:schemeClr val="tx1"/>
              </a:solidFill>
              <a:latin typeface="+mn-lt"/>
              <a:ea typeface="+mn-ea"/>
              <a:cs typeface="+mn-cs"/>
            </a:rPr>
            <a:t>AVG SHIPMENT WEIGHT</a:t>
          </a:r>
        </a:p>
      </xdr:txBody>
    </xdr:sp>
    <xdr:clientData/>
  </xdr:oneCellAnchor>
  <xdr:twoCellAnchor>
    <xdr:from>
      <xdr:col>9</xdr:col>
      <xdr:colOff>502920</xdr:colOff>
      <xdr:row>4</xdr:row>
      <xdr:rowOff>91440</xdr:rowOff>
    </xdr:from>
    <xdr:to>
      <xdr:col>14</xdr:col>
      <xdr:colOff>320040</xdr:colOff>
      <xdr:row>8</xdr:row>
      <xdr:rowOff>112607</xdr:rowOff>
    </xdr:to>
    <xdr:sp macro="" textlink="Workbook!T4">
      <xdr:nvSpPr>
        <xdr:cNvPr id="7" name="Rectangle: Rounded Corners 6">
          <a:extLst>
            <a:ext uri="{FF2B5EF4-FFF2-40B4-BE49-F238E27FC236}">
              <a16:creationId xmlns:a16="http://schemas.microsoft.com/office/drawing/2014/main" id="{11D34DC4-9BC8-4C35-8BF4-28B5A2F931A1}"/>
            </a:ext>
          </a:extLst>
        </xdr:cNvPr>
        <xdr:cNvSpPr/>
      </xdr:nvSpPr>
      <xdr:spPr>
        <a:xfrm>
          <a:off x="5989320" y="822960"/>
          <a:ext cx="2865120" cy="752687"/>
        </a:xfrm>
        <a:prstGeom prst="roundRect">
          <a:avLst/>
        </a:prstGeom>
        <a:solidFill>
          <a:srgbClr val="40A8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A58A9BDD-E5C9-420B-9E48-D3F80FBB84A0}" type="TxLink">
            <a:rPr lang="en-US" sz="2000">
              <a:solidFill>
                <a:schemeClr val="lt1"/>
              </a:solidFill>
              <a:latin typeface="+mn-lt"/>
              <a:ea typeface="+mn-ea"/>
              <a:cs typeface="+mn-cs"/>
            </a:rPr>
            <a:pPr marL="0" indent="0" algn="ctr"/>
            <a:t>937.97</a:t>
          </a:fld>
          <a:endParaRPr lang="en-IN" sz="2000">
            <a:solidFill>
              <a:schemeClr val="lt1"/>
            </a:solidFill>
            <a:latin typeface="+mn-lt"/>
            <a:ea typeface="+mn-ea"/>
            <a:cs typeface="+mn-cs"/>
          </a:endParaRPr>
        </a:p>
      </xdr:txBody>
    </xdr:sp>
    <xdr:clientData/>
  </xdr:twoCellAnchor>
  <xdr:oneCellAnchor>
    <xdr:from>
      <xdr:col>10</xdr:col>
      <xdr:colOff>190500</xdr:colOff>
      <xdr:row>4</xdr:row>
      <xdr:rowOff>144780</xdr:rowOff>
    </xdr:from>
    <xdr:ext cx="2339340" cy="304800"/>
    <xdr:sp macro="" textlink="">
      <xdr:nvSpPr>
        <xdr:cNvPr id="8" name="TextBox 7">
          <a:extLst>
            <a:ext uri="{FF2B5EF4-FFF2-40B4-BE49-F238E27FC236}">
              <a16:creationId xmlns:a16="http://schemas.microsoft.com/office/drawing/2014/main" id="{890AD697-4583-4444-B601-7604611FEFFC}"/>
            </a:ext>
          </a:extLst>
        </xdr:cNvPr>
        <xdr:cNvSpPr txBox="1"/>
      </xdr:nvSpPr>
      <xdr:spPr>
        <a:xfrm>
          <a:off x="6286500" y="876300"/>
          <a:ext cx="2339340"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r>
            <a:rPr lang="en-IN" sz="1400" b="1" baseline="0">
              <a:solidFill>
                <a:schemeClr val="tx1"/>
              </a:solidFill>
              <a:latin typeface="+mn-lt"/>
              <a:ea typeface="+mn-ea"/>
              <a:cs typeface="+mn-cs"/>
            </a:rPr>
            <a:t>AVG SHIPMENT CHARGE</a:t>
          </a:r>
        </a:p>
      </xdr:txBody>
    </xdr:sp>
    <xdr:clientData/>
  </xdr:oneCellAnchor>
  <xdr:twoCellAnchor>
    <xdr:from>
      <xdr:col>14</xdr:col>
      <xdr:colOff>495300</xdr:colOff>
      <xdr:row>4</xdr:row>
      <xdr:rowOff>91440</xdr:rowOff>
    </xdr:from>
    <xdr:to>
      <xdr:col>19</xdr:col>
      <xdr:colOff>144780</xdr:colOff>
      <xdr:row>8</xdr:row>
      <xdr:rowOff>120227</xdr:rowOff>
    </xdr:to>
    <xdr:sp macro="" textlink="Workbook!G7">
      <xdr:nvSpPr>
        <xdr:cNvPr id="9" name="Rectangle: Rounded Corners 8">
          <a:extLst>
            <a:ext uri="{FF2B5EF4-FFF2-40B4-BE49-F238E27FC236}">
              <a16:creationId xmlns:a16="http://schemas.microsoft.com/office/drawing/2014/main" id="{22B7F347-334E-4EEE-B823-990A85C1AB52}"/>
            </a:ext>
          </a:extLst>
        </xdr:cNvPr>
        <xdr:cNvSpPr/>
      </xdr:nvSpPr>
      <xdr:spPr>
        <a:xfrm>
          <a:off x="9029700" y="822960"/>
          <a:ext cx="2697480" cy="760307"/>
        </a:xfrm>
        <a:prstGeom prst="roundRect">
          <a:avLst/>
        </a:prstGeom>
        <a:solidFill>
          <a:srgbClr val="40A8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421BD6AF-13F8-4BEA-B58D-FB68E246E6E2}" type="TxLink">
            <a:rPr lang="en-US" sz="2000">
              <a:solidFill>
                <a:schemeClr val="lt1"/>
              </a:solidFill>
              <a:latin typeface="+mn-lt"/>
              <a:ea typeface="+mn-ea"/>
              <a:cs typeface="+mn-cs"/>
            </a:rPr>
            <a:pPr marL="0" indent="0" algn="ctr"/>
            <a:t>100</a:t>
          </a:fld>
          <a:endParaRPr lang="en-IN" sz="2000">
            <a:solidFill>
              <a:schemeClr val="lt1"/>
            </a:solidFill>
            <a:latin typeface="+mn-lt"/>
            <a:ea typeface="+mn-ea"/>
            <a:cs typeface="+mn-cs"/>
          </a:endParaRPr>
        </a:p>
      </xdr:txBody>
    </xdr:sp>
    <xdr:clientData/>
  </xdr:twoCellAnchor>
  <xdr:oneCellAnchor>
    <xdr:from>
      <xdr:col>15</xdr:col>
      <xdr:colOff>182880</xdr:colOff>
      <xdr:row>4</xdr:row>
      <xdr:rowOff>144780</xdr:rowOff>
    </xdr:from>
    <xdr:ext cx="2095500" cy="312420"/>
    <xdr:sp macro="" textlink="">
      <xdr:nvSpPr>
        <xdr:cNvPr id="10" name="TextBox 9">
          <a:extLst>
            <a:ext uri="{FF2B5EF4-FFF2-40B4-BE49-F238E27FC236}">
              <a16:creationId xmlns:a16="http://schemas.microsoft.com/office/drawing/2014/main" id="{A74F3F47-5435-43D9-9533-EBDFF08AE711}"/>
            </a:ext>
          </a:extLst>
        </xdr:cNvPr>
        <xdr:cNvSpPr txBox="1"/>
      </xdr:nvSpPr>
      <xdr:spPr>
        <a:xfrm>
          <a:off x="9326880" y="876300"/>
          <a:ext cx="2095500" cy="3124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lgn="ctr"/>
          <a:r>
            <a:rPr lang="en-IN" sz="1400" b="1" baseline="0">
              <a:solidFill>
                <a:schemeClr val="tx1"/>
              </a:solidFill>
              <a:latin typeface="+mn-lt"/>
              <a:ea typeface="+mn-ea"/>
              <a:cs typeface="+mn-cs"/>
            </a:rPr>
            <a:t>DELIVERED SHIPMENT</a:t>
          </a:r>
        </a:p>
        <a:p>
          <a:pPr marL="0" indent="0" algn="ctr"/>
          <a:endParaRPr lang="en-IN" sz="1400" b="1" baseline="0">
            <a:solidFill>
              <a:schemeClr val="tx1"/>
            </a:solidFill>
            <a:latin typeface="+mn-lt"/>
            <a:ea typeface="+mn-ea"/>
            <a:cs typeface="+mn-cs"/>
          </a:endParaRPr>
        </a:p>
      </xdr:txBody>
    </xdr:sp>
    <xdr:clientData/>
  </xdr:oneCellAnchor>
  <xdr:twoCellAnchor>
    <xdr:from>
      <xdr:col>19</xdr:col>
      <xdr:colOff>236220</xdr:colOff>
      <xdr:row>4</xdr:row>
      <xdr:rowOff>91440</xdr:rowOff>
    </xdr:from>
    <xdr:to>
      <xdr:col>21</xdr:col>
      <xdr:colOff>1483895</xdr:colOff>
      <xdr:row>8</xdr:row>
      <xdr:rowOff>120227</xdr:rowOff>
    </xdr:to>
    <xdr:sp macro="" textlink="Workbook!$C$7">
      <xdr:nvSpPr>
        <xdr:cNvPr id="11" name="Rectangle: Rounded Corners 10">
          <a:extLst>
            <a:ext uri="{FF2B5EF4-FFF2-40B4-BE49-F238E27FC236}">
              <a16:creationId xmlns:a16="http://schemas.microsoft.com/office/drawing/2014/main" id="{3269AA56-C721-41AB-A2A2-17D34A2FC86F}"/>
            </a:ext>
          </a:extLst>
        </xdr:cNvPr>
        <xdr:cNvSpPr/>
      </xdr:nvSpPr>
      <xdr:spPr>
        <a:xfrm>
          <a:off x="11856720" y="813335"/>
          <a:ext cx="2390675" cy="750681"/>
        </a:xfrm>
        <a:prstGeom prst="roundRect">
          <a:avLst/>
        </a:prstGeom>
        <a:solidFill>
          <a:srgbClr val="40A8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CFC19274-478D-42BC-8525-2733B10F0435}" type="TxLink">
            <a:rPr lang="en-US" sz="2000">
              <a:solidFill>
                <a:schemeClr val="lt1"/>
              </a:solidFill>
              <a:latin typeface="+mn-lt"/>
              <a:ea typeface="+mn-ea"/>
              <a:cs typeface="+mn-cs"/>
            </a:rPr>
            <a:pPr marL="0" indent="0" algn="ctr"/>
            <a:t>0.543</a:t>
          </a:fld>
          <a:endParaRPr lang="en-IN" sz="2000">
            <a:solidFill>
              <a:schemeClr val="lt1"/>
            </a:solidFill>
            <a:latin typeface="+mn-lt"/>
            <a:ea typeface="+mn-ea"/>
            <a:cs typeface="+mn-cs"/>
          </a:endParaRPr>
        </a:p>
      </xdr:txBody>
    </xdr:sp>
    <xdr:clientData/>
  </xdr:twoCellAnchor>
  <xdr:oneCellAnchor>
    <xdr:from>
      <xdr:col>19</xdr:col>
      <xdr:colOff>259080</xdr:colOff>
      <xdr:row>4</xdr:row>
      <xdr:rowOff>144780</xdr:rowOff>
    </xdr:from>
    <xdr:ext cx="2148840" cy="335280"/>
    <xdr:sp macro="" textlink="">
      <xdr:nvSpPr>
        <xdr:cNvPr id="12" name="TextBox 11">
          <a:extLst>
            <a:ext uri="{FF2B5EF4-FFF2-40B4-BE49-F238E27FC236}">
              <a16:creationId xmlns:a16="http://schemas.microsoft.com/office/drawing/2014/main" id="{339E24A2-762A-40C9-847F-3382903536D8}"/>
            </a:ext>
          </a:extLst>
        </xdr:cNvPr>
        <xdr:cNvSpPr txBox="1"/>
      </xdr:nvSpPr>
      <xdr:spPr>
        <a:xfrm>
          <a:off x="11841480" y="876300"/>
          <a:ext cx="2148840" cy="3352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lgn="ctr"/>
          <a:r>
            <a:rPr lang="en-IN" sz="1400" b="1" baseline="0">
              <a:solidFill>
                <a:schemeClr val="tx1"/>
              </a:solidFill>
              <a:latin typeface="+mn-lt"/>
              <a:ea typeface="+mn-ea"/>
              <a:cs typeface="+mn-cs"/>
            </a:rPr>
            <a:t>  AVG SHIPMENT EFFICIENCY</a:t>
          </a:r>
        </a:p>
        <a:p>
          <a:pPr marL="0" indent="0" algn="ctr"/>
          <a:endParaRPr lang="en-IN" sz="1400" b="1" baseline="0">
            <a:solidFill>
              <a:schemeClr val="tx1"/>
            </a:solidFill>
            <a:latin typeface="+mn-lt"/>
            <a:ea typeface="+mn-ea"/>
            <a:cs typeface="+mn-cs"/>
          </a:endParaRPr>
        </a:p>
      </xdr:txBody>
    </xdr:sp>
    <xdr:clientData/>
  </xdr:oneCellAnchor>
  <xdr:twoCellAnchor>
    <xdr:from>
      <xdr:col>0</xdr:col>
      <xdr:colOff>403860</xdr:colOff>
      <xdr:row>9</xdr:row>
      <xdr:rowOff>15240</xdr:rowOff>
    </xdr:from>
    <xdr:to>
      <xdr:col>18</xdr:col>
      <xdr:colOff>381000</xdr:colOff>
      <xdr:row>22</xdr:row>
      <xdr:rowOff>76200</xdr:rowOff>
    </xdr:to>
    <xdr:graphicFrame macro="">
      <xdr:nvGraphicFramePr>
        <xdr:cNvPr id="13" name="Chart 12">
          <a:extLst>
            <a:ext uri="{FF2B5EF4-FFF2-40B4-BE49-F238E27FC236}">
              <a16:creationId xmlns:a16="http://schemas.microsoft.com/office/drawing/2014/main" id="{5A77906C-C9F5-4075-9973-5FDD8703BD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251460</xdr:colOff>
      <xdr:row>23</xdr:row>
      <xdr:rowOff>15240</xdr:rowOff>
    </xdr:from>
    <xdr:to>
      <xdr:col>7</xdr:col>
      <xdr:colOff>556260</xdr:colOff>
      <xdr:row>38</xdr:row>
      <xdr:rowOff>15240</xdr:rowOff>
    </xdr:to>
    <xdr:graphicFrame macro="">
      <xdr:nvGraphicFramePr>
        <xdr:cNvPr id="14" name="Chart 13">
          <a:extLst>
            <a:ext uri="{FF2B5EF4-FFF2-40B4-BE49-F238E27FC236}">
              <a16:creationId xmlns:a16="http://schemas.microsoft.com/office/drawing/2014/main" id="{C6D00083-35BA-4AA5-A215-C88A2DB61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579120</xdr:colOff>
      <xdr:row>23</xdr:row>
      <xdr:rowOff>15240</xdr:rowOff>
    </xdr:from>
    <xdr:to>
      <xdr:col>19</xdr:col>
      <xdr:colOff>175260</xdr:colOff>
      <xdr:row>38</xdr:row>
      <xdr:rowOff>15240</xdr:rowOff>
    </xdr:to>
    <xdr:graphicFrame macro="">
      <xdr:nvGraphicFramePr>
        <xdr:cNvPr id="15" name="Chart 14">
          <a:extLst>
            <a:ext uri="{FF2B5EF4-FFF2-40B4-BE49-F238E27FC236}">
              <a16:creationId xmlns:a16="http://schemas.microsoft.com/office/drawing/2014/main" id="{95DB6378-B580-4F9F-B40F-A92BE35335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jwal Biradar" refreshedDate="46162.670979513889" createdVersion="8" refreshedVersion="8" minRefreshableVersion="3" recordCount="200" xr:uid="{BC9973A5-7F48-4DC8-AC43-97D652D15D25}">
  <cacheSource type="worksheet">
    <worksheetSource ref="A1:O201" sheet="Shipment_Status"/>
  </cacheSource>
  <cacheFields count="15">
    <cacheField name="SH_ID" numFmtId="0">
      <sharedItems containsSemiMixedTypes="0" containsString="0" containsNumber="1" containsInteger="1" minValue="1" maxValue="998"/>
    </cacheField>
    <cacheField name="C_ID" numFmtId="0">
      <sharedItems containsSemiMixedTypes="0" containsString="0" containsNumber="1" containsInteger="1" minValue="3" maxValue="9968"/>
    </cacheField>
    <cacheField name="Shipment_Content" numFmtId="0">
      <sharedItems/>
    </cacheField>
    <cacheField name="Shipment_Domain" numFmtId="0">
      <sharedItems/>
    </cacheField>
    <cacheField name="Service_Type" numFmtId="0">
      <sharedItems/>
    </cacheField>
    <cacheField name="Shipment_Weight" numFmtId="0">
      <sharedItems containsSemiMixedTypes="0" containsString="0" containsNumber="1" containsInteger="1" minValue="23" maxValue="997"/>
    </cacheField>
    <cacheField name="Shipment_Charges" numFmtId="0">
      <sharedItems containsSemiMixedTypes="0" containsString="0" containsNumber="1" containsInteger="1" minValue="20" maxValue="1486"/>
    </cacheField>
    <cacheField name="SR_ADDR" numFmtId="0">
      <sharedItems/>
    </cacheField>
    <cacheField name="DS_ADDR" numFmtId="0">
      <sharedItems/>
    </cacheField>
    <cacheField name="Current_Status" numFmtId="0">
      <sharedItems/>
    </cacheField>
    <cacheField name="Sent_date" numFmtId="14">
      <sharedItems containsSemiMixedTypes="0" containsNonDate="0" containsDate="1" containsString="0" minDate="1971-02-06T00:00:00" maxDate="2019-12-31T00:00:00"/>
    </cacheField>
    <cacheField name="Delivery_date" numFmtId="0">
      <sharedItems containsNonDate="0" containsDate="1" containsString="0" containsBlank="1" minDate="1971-11-01T00:00:00" maxDate="2019-12-13T00:00:00"/>
    </cacheField>
    <cacheField name="ShipmentEfficiency" numFmtId="0">
      <sharedItems containsSemiMixedTypes="0" containsString="0" containsNumber="1" minValue="0.1134" maxValue="1.75"/>
    </cacheField>
    <cacheField name="Delivery_days" numFmtId="0">
      <sharedItems containsMixedTypes="1" containsNumber="1" containsInteger="1" minValue="-21" maxValue="290"/>
    </cacheField>
    <cacheField name="Delivery_Status" numFmtId="0">
      <sharedItems count="4">
        <s v="Delayed"/>
        <s v="Normal"/>
        <s v="Invalid"/>
        <s v="Fast"/>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jwal Biradar" refreshedDate="46162.670980208335" createdVersion="8" refreshedVersion="8" minRefreshableVersion="3" recordCount="200" xr:uid="{2EBC100E-7162-4915-8E03-927BE1A1F35E}">
  <cacheSource type="worksheet">
    <worksheetSource name="Customer_payments"/>
  </cacheSource>
  <cacheFields count="10">
    <cacheField name="C_ID" numFmtId="0">
      <sharedItems containsSemiMixedTypes="0" containsString="0" containsNumber="1" containsInteger="1" minValue="3" maxValue="9968"/>
    </cacheField>
    <cacheField name="Customer_Name" numFmtId="0">
      <sharedItems count="171">
        <s v="Philip"/>
        <s v="Rayshawn"/>
        <s v="Boyd"/>
        <s v="Catherine"/>
        <s v="Janelle"/>
        <s v="Chasity"/>
        <s v="Gordon"/>
        <s v="Cecile"/>
        <s v="Dennis"/>
        <s v="Lita"/>
        <s v="Korie"/>
        <s v="Peyton"/>
        <s v="Lola"/>
        <s v="Dinah"/>
        <s v="Eunice"/>
        <s v="Frank"/>
        <s v="Julie"/>
        <s v="Darrel"/>
        <s v="Annie"/>
        <s v="Laurette"/>
        <s v="Curtis"/>
        <s v="Eriana"/>
        <s v="Jonathan"/>
        <s v="Paola"/>
        <s v="Eddie"/>
        <s v="Destiny"/>
        <s v="Trey"/>
        <s v="Otis"/>
        <s v="Neri"/>
        <s v="Matthew"/>
        <s v="Joel"/>
        <s v="Daren"/>
        <s v="Marion"/>
        <s v="Willie"/>
        <s v="Bianca"/>
        <s v="Reginald"/>
        <s v="Franklin"/>
        <s v="Adonis"/>
        <s v="Jill"/>
        <s v="Wilbur"/>
        <s v="Kandace"/>
        <s v="Isabela"/>
        <s v="Jaimee"/>
        <s v="Stanley"/>
        <s v="Ronnie"/>
        <s v="Joe"/>
        <s v="Courtney"/>
        <s v="Enrique"/>
        <s v="Stacy"/>
        <s v="Jennifer"/>
        <s v="Douglas"/>
        <s v="Dejon"/>
        <s v="Naisha"/>
        <s v="Jaylene"/>
        <s v="Tiffany"/>
        <s v="Carter"/>
        <s v="Mickey"/>
        <s v="Emma"/>
        <s v="Rosalind"/>
        <s v="Sheryl"/>
        <s v="Stefania"/>
        <s v="Roxanne"/>
        <s v="Fabiola"/>
        <s v="Max"/>
        <s v="Gaylon"/>
        <s v="Monte"/>
        <s v="Chelsey"/>
        <s v="Bambi"/>
        <s v="Abby"/>
        <s v="Johnny"/>
        <s v="Claude"/>
        <s v="Christa"/>
        <s v="Bayley"/>
        <s v="Demetrius"/>
        <s v="Carlotta"/>
        <s v="Theresa"/>
        <s v="Steve"/>
        <s v="Debora"/>
        <s v="Italia"/>
        <s v="Glory"/>
        <s v="Taryn"/>
        <s v="Sydney"/>
        <s v="Magdalene"/>
        <s v="Reymundo"/>
        <s v="Diana"/>
        <s v="Hellen"/>
        <s v="Andre"/>
        <s v="Julianna"/>
        <s v="Marie"/>
        <s v="Dianne"/>
        <s v="Mitchell"/>
        <s v="Patrick"/>
        <s v="Sophie"/>
        <s v="Larry"/>
        <s v="Bryn"/>
        <s v="Lydia"/>
        <s v="Rory"/>
        <s v="Tianna"/>
        <s v="Shemar"/>
        <s v="Brennan"/>
        <s v="Lucien"/>
        <s v="Amy"/>
        <s v="Stacie"/>
        <s v="Eileen"/>
        <s v="Brady"/>
        <s v="Morgan"/>
        <s v="Muriel"/>
        <s v="Kyleigh"/>
        <s v="Holli"/>
        <s v="George"/>
        <s v="Caitlin"/>
        <s v="Louise"/>
        <s v="Clay"/>
        <s v="Zoie"/>
        <s v="Tammi"/>
        <s v="Stephon"/>
        <s v="Misael"/>
        <s v="Todd"/>
        <s v="Michaela"/>
        <s v="Aidan"/>
        <s v="Maurice"/>
        <s v="Albert"/>
        <s v="Frances"/>
        <s v="Laverne"/>
        <s v="Alonzo"/>
        <s v="Isidro"/>
        <s v="Kaitlyn"/>
        <s v="Nigel"/>
        <s v="Ray"/>
        <s v="Pierre"/>
        <s v="Amelia"/>
        <s v="Danielle"/>
        <s v="Gwendolyn"/>
        <s v="Elvia"/>
        <s v="Merna"/>
        <s v="Juan"/>
        <s v="Belle"/>
        <s v="Sadie"/>
        <s v="Tomeka"/>
        <s v="Brenda"/>
        <s v="Adrianna"/>
        <s v="Elena"/>
        <s v="Steven"/>
        <s v="Rita"/>
        <s v="Gabrielle"/>
        <s v="Christy"/>
        <s v="Velma"/>
        <s v="Gene"/>
        <s v="Grover"/>
        <s v="Peter"/>
        <s v="Genesis"/>
        <s v="Ricky"/>
        <s v="Miley"/>
        <s v="Lazaro"/>
        <s v="Jennie"/>
        <s v="Bernadine"/>
        <s v="Norma"/>
        <s v="Rayburn"/>
        <s v="Bruno"/>
        <s v="Austin"/>
        <s v="Evan"/>
        <s v="Mavis"/>
        <s v="Zakariya"/>
        <s v="Christina"/>
        <s v="Sapphire"/>
        <s v="Sonja"/>
        <s v="Latasha"/>
        <s v="Connie"/>
        <s v="Joseph"/>
        <s v="Dani"/>
        <s v="Paige"/>
      </sharedItems>
    </cacheField>
    <cacheField name="Customer_Type" numFmtId="0">
      <sharedItems count="3">
        <s v="Internal Goods"/>
        <s v="Wholesale"/>
        <s v="Retail"/>
      </sharedItems>
    </cacheField>
    <cacheField name="Customer_Age" numFmtId="0">
      <sharedItems containsSemiMixedTypes="0" containsString="0" containsNumber="1" containsInteger="1" minValue="7" maxValue="55"/>
    </cacheField>
    <cacheField name="Payment_Mode" numFmtId="0">
      <sharedItems count="2">
        <s v="COD"/>
        <s v="CARD PAYMENT"/>
      </sharedItems>
    </cacheField>
    <cacheField name="Payment_Status" numFmtId="0">
      <sharedItems/>
    </cacheField>
    <cacheField name="Payment_Date" numFmtId="14">
      <sharedItems containsNonDate="0" containsDate="1" containsString="0" containsBlank="1" minDate="1971-11-01T00:00:00" maxDate="2019-12-13T00:00:00"/>
    </cacheField>
    <cacheField name="PaymentCategory" numFmtId="0">
      <sharedItems count="3">
        <s v="High"/>
        <s v="Medium"/>
        <s v="Low"/>
      </sharedItems>
    </cacheField>
    <cacheField name="Total_Payment" numFmtId="0">
      <sharedItems containsSemiMixedTypes="0" containsString="0" containsNumber="1" containsInteger="1" minValue="312" maxValue="99604"/>
    </cacheField>
    <cacheField name="Monthly Trend" numFmtId="0">
      <sharedItems containsSemiMixedTypes="0" containsString="0" containsNumber="1" containsInteger="1" minValue="1" maxValue="12" count="11">
        <n v="11"/>
        <n v="1"/>
        <n v="9"/>
        <n v="8"/>
        <n v="5"/>
        <n v="12"/>
        <n v="3"/>
        <n v="7"/>
        <n v="10"/>
        <n v="6"/>
        <n v="4"/>
      </sharedItems>
    </cacheField>
  </cacheFields>
  <extLst>
    <ext xmlns:x14="http://schemas.microsoft.com/office/spreadsheetml/2009/9/main" uri="{725AE2AE-9491-48be-B2B4-4EB974FC3084}">
      <x14:pivotCacheDefinition pivotCacheId="183465385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jwal Biradar" refreshedDate="46162.670981828705" createdVersion="8" refreshedVersion="8" minRefreshableVersion="3" recordCount="200" xr:uid="{E44FA207-73CD-4113-BC7C-D6493B7039CA}">
  <cacheSource type="worksheet">
    <worksheetSource name="Employee_details"/>
  </cacheSource>
  <cacheFields count="5">
    <cacheField name="E_ID" numFmtId="0">
      <sharedItems containsSemiMixedTypes="0" containsString="0" containsNumber="1" containsInteger="1" minValue="2" maxValue="999"/>
    </cacheField>
    <cacheField name="Employee_NAME" numFmtId="0">
      <sharedItems count="176">
        <s v="Harriette"/>
        <s v="Matthew"/>
        <s v="Geraldine"/>
        <s v="Brenda"/>
        <s v="Malie"/>
        <s v="Fred"/>
        <s v="Clay"/>
        <s v="Alaysha"/>
        <s v="Kelli"/>
        <s v="Ryker"/>
        <s v="Johnnie"/>
        <s v="Zykeria"/>
        <s v="Selma"/>
        <s v="Kathryn"/>
        <s v="Karl"/>
        <s v="Freda"/>
        <s v="David"/>
        <s v="Winnifred"/>
        <s v="Bryce"/>
        <s v="Maeve"/>
        <s v="Seth"/>
        <s v="Maria"/>
        <s v="Taron"/>
        <s v="Ramona"/>
        <s v="Adrienne"/>
        <s v="Dawn"/>
        <s v="Yessenia"/>
        <s v="Ryan"/>
        <s v="Jana"/>
        <s v="Frances"/>
        <s v="Tiffani"/>
        <s v="Cecile"/>
        <s v="Earle"/>
        <s v="Danita"/>
        <s v="Raeleigh"/>
        <s v="Guy"/>
        <s v="Anastasia"/>
        <s v="Benita"/>
        <s v="Dianne"/>
        <s v="Andrea"/>
        <s v="Raul"/>
        <s v="Raven"/>
        <s v="Rebecca"/>
        <s v="Rosalind"/>
        <s v="Anne"/>
        <s v="Michael"/>
        <s v="Danielle"/>
        <s v="Heather"/>
        <s v="Kaitlyn"/>
        <s v="Eileen"/>
        <s v="Cheyenne"/>
        <s v="Ely"/>
        <s v="Irby"/>
        <s v="Genevieve"/>
        <s v="Elliana"/>
        <s v="Katrice"/>
        <s v="Laverne"/>
        <s v="Chasity"/>
        <s v="Kyle"/>
        <s v="Gene"/>
        <s v="Marlene"/>
        <s v="Baldemar"/>
        <s v="Claudia"/>
        <s v="Arya"/>
        <s v="Rodney"/>
        <s v="Amelia"/>
        <s v="Stephanie"/>
        <s v="Dejon"/>
        <s v="Lawrence"/>
        <s v="Felicity"/>
        <s v="Kim"/>
        <s v="Morgan"/>
        <s v="Hudson"/>
        <s v="Stacy"/>
        <s v="Peter"/>
        <s v="Beth"/>
        <s v="Devon"/>
        <s v="Jonathan"/>
        <s v="John"/>
        <s v="Jan"/>
        <s v="Robert"/>
        <s v="Stephan"/>
        <s v="Emma"/>
        <s v="Monica"/>
        <s v="Pamala"/>
        <s v="Matt"/>
        <s v="Kristie"/>
        <s v="Lee"/>
        <s v="Roger"/>
        <s v="Zoya"/>
        <s v="Danny"/>
        <s v="Zelda"/>
        <s v="Jacquelin"/>
        <s v="Ardis"/>
        <s v="Scott"/>
        <s v="Alexia"/>
        <s v="Donnell"/>
        <s v="Trent"/>
        <s v="Gerald"/>
        <s v="Zakariya"/>
        <s v="Artie"/>
        <s v="Albertha"/>
        <s v="Carolyn"/>
        <s v="Ilana"/>
        <s v="Christa"/>
        <s v="Bobby"/>
        <s v="Laurence"/>
        <s v="Trevon"/>
        <s v="Jason"/>
        <s v="Harvey"/>
        <s v="Ericka"/>
        <s v="Shirley"/>
        <s v="Nevaeh"/>
        <s v="Rayburn"/>
        <s v="Sharyn"/>
        <s v="Leslie"/>
        <s v="Curtis"/>
        <s v="Alessia"/>
        <s v="Bridgett"/>
        <s v="Kelly"/>
        <s v="Francis"/>
        <s v="Stephania"/>
        <s v="Zella"/>
        <s v="Tiffany"/>
        <s v="Bernard"/>
        <s v="Parth"/>
        <s v="Arlene"/>
        <s v="Ronnie"/>
        <s v="Kathleen"/>
        <s v="Jalen"/>
        <s v="Jensen"/>
        <s v="Stanley"/>
        <s v="Pamela"/>
        <s v="Isabela"/>
        <s v="Ora"/>
        <s v="Crystal"/>
        <s v="Todd"/>
        <s v="Frederick"/>
        <s v="Makala"/>
        <s v="Wayne"/>
        <s v="Bart"/>
        <s v="Leighann"/>
        <s v="Christina"/>
        <s v="Edith"/>
        <s v="Milburn"/>
        <s v="Loren"/>
        <s v="Zoie"/>
        <s v="Coleman"/>
        <s v="Jennifer"/>
        <s v="Cristina"/>
        <s v="Annamaria"/>
        <s v="Jennie"/>
        <s v="Eldon"/>
        <s v="Tammi"/>
        <s v="Elise"/>
        <s v="Twanna"/>
        <s v="Gael"/>
        <s v="Joao"/>
        <s v="Muriel"/>
        <s v="Valeria"/>
        <s v="Yasmeen"/>
        <s v="Cecilia"/>
        <s v="Brent"/>
        <s v="Gray"/>
        <s v="Kenny"/>
        <s v="Jasmine"/>
        <s v="Alysha"/>
        <s v="Rashawn"/>
        <s v="Rita"/>
        <s v="Jaime"/>
        <s v="Debora"/>
        <s v="Van"/>
        <s v="Samual"/>
        <s v="Holli"/>
        <s v="Latasha"/>
        <s v="Valencia"/>
      </sharedItems>
    </cacheField>
    <cacheField name="Employee_Designation" numFmtId="0">
      <sharedItems count="27">
        <s v="Market analyst"/>
        <s v="Chief finance officer"/>
        <s v="Transport manager"/>
        <s v="Warehouse manager"/>
        <s v="Branch manager"/>
        <s v="Project director"/>
        <s v="HR manager"/>
        <s v="Material handling executive"/>
        <s v="Non-executive director"/>
        <s v="In House logistics executive"/>
        <s v="Warehouse in charge"/>
        <s v="Head of marketing"/>
        <s v="Technical support executive"/>
        <s v="IT support executive"/>
        <s v="Inventory manager"/>
        <s v="Manager"/>
        <s v="Sales manager"/>
        <s v="Block development manager"/>
        <s v="Assistant manager"/>
        <s v="Delivery Boy"/>
        <s v="Office manager"/>
        <s v="Engineering department manager"/>
        <s v="Chief executive officer"/>
        <s v="Fleet manager"/>
        <s v="Marketing manager"/>
        <s v="Executive director"/>
        <s v="Director"/>
      </sharedItems>
    </cacheField>
    <cacheField name="E_BRANCH" numFmtId="0">
      <sharedItems count="46">
        <s v="TX"/>
        <s v="MA"/>
        <s v="CT"/>
        <s v="UT"/>
        <s v="OH"/>
        <s v="MO"/>
        <s v="SD"/>
        <s v="HI"/>
        <s v="RI"/>
        <s v="VA"/>
        <s v="KY"/>
        <s v="AL"/>
        <s v="NH"/>
        <s v="CA"/>
        <s v="NJ"/>
        <s v="OK"/>
        <s v="NC"/>
        <s v="NY"/>
        <s v="NM"/>
        <s v="PA"/>
        <s v="OR"/>
        <s v="CO"/>
        <s v="TN"/>
        <s v="IA"/>
        <s v="MS"/>
        <s v="KS"/>
        <s v="AR"/>
        <s v="LA"/>
        <s v="WV"/>
        <s v="WA"/>
        <s v="ME"/>
        <s v="FL"/>
        <s v="IL"/>
        <s v="SC"/>
        <s v="AZ"/>
        <s v="ID"/>
        <s v="GA"/>
        <s v="MI"/>
        <s v="IN"/>
        <s v="DC"/>
        <s v="MN"/>
        <s v="MD"/>
        <s v="DE"/>
        <s v="MT"/>
        <s v="VT"/>
        <s v="WI"/>
      </sharedItems>
    </cacheField>
    <cacheField name="Shipment_ID" numFmtId="0">
      <sharedItems containsSemiMixedTypes="0" containsString="0" containsNumber="1" containsInteger="1" minValue="1" maxValue="998"/>
    </cacheField>
  </cacheFields>
  <extLst>
    <ext xmlns:x14="http://schemas.microsoft.com/office/spreadsheetml/2009/9/main" uri="{725AE2AE-9491-48be-B2B4-4EB974FC3084}">
      <x14:pivotCacheDefinition pivotCacheId="77671690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jwal Biradar" refreshedDate="46162.670982407406" createdVersion="8" refreshedVersion="8" minRefreshableVersion="3" recordCount="200" xr:uid="{80DE3947-04A0-4F4B-BD6B-12D0DED9ECD6}">
  <cacheSource type="worksheet">
    <worksheetSource ref="A1:N201" sheet="Shipment_Status"/>
  </cacheSource>
  <cacheFields count="14">
    <cacheField name="SH_ID" numFmtId="0">
      <sharedItems containsSemiMixedTypes="0" containsString="0" containsNumber="1" containsInteger="1" minValue="1" maxValue="998"/>
    </cacheField>
    <cacheField name="C_ID" numFmtId="0">
      <sharedItems containsSemiMixedTypes="0" containsString="0" containsNumber="1" containsInteger="1" minValue="3" maxValue="9968"/>
    </cacheField>
    <cacheField name="Shipment_Content" numFmtId="0">
      <sharedItems/>
    </cacheField>
    <cacheField name="Shipment_Domain" numFmtId="0">
      <sharedItems count="2">
        <s v="Domestic"/>
        <s v="International"/>
      </sharedItems>
    </cacheField>
    <cacheField name="Service_Type" numFmtId="0">
      <sharedItems/>
    </cacheField>
    <cacheField name="Shipment_Weight" numFmtId="0">
      <sharedItems containsSemiMixedTypes="0" containsString="0" containsNumber="1" containsInteger="1" minValue="23" maxValue="997"/>
    </cacheField>
    <cacheField name="Shipment_Charges" numFmtId="0">
      <sharedItems containsSemiMixedTypes="0" containsString="0" containsNumber="1" containsInteger="1" minValue="20" maxValue="1486"/>
    </cacheField>
    <cacheField name="SR_ADDR" numFmtId="0">
      <sharedItems/>
    </cacheField>
    <cacheField name="DS_ADDR" numFmtId="0">
      <sharedItems/>
    </cacheField>
    <cacheField name="Current_Status" numFmtId="0">
      <sharedItems count="2">
        <s v="DELIVERED"/>
        <s v="NOT DELIVERED"/>
      </sharedItems>
    </cacheField>
    <cacheField name="Sent_date" numFmtId="14">
      <sharedItems containsSemiMixedTypes="0" containsNonDate="0" containsDate="1" containsString="0" minDate="1971-02-06T00:00:00" maxDate="2019-12-31T00:00:00"/>
    </cacheField>
    <cacheField name="Delivery_date" numFmtId="0">
      <sharedItems containsNonDate="0" containsDate="1" containsString="0" containsBlank="1" minDate="1971-11-01T00:00:00" maxDate="2019-12-13T00:00:00"/>
    </cacheField>
    <cacheField name="ShipmentEfficiency" numFmtId="0">
      <sharedItems containsSemiMixedTypes="0" containsString="0" containsNumber="1" minValue="0.1134" maxValue="1.75"/>
    </cacheField>
    <cacheField name="Delivery_days" numFmtId="0">
      <sharedItems containsMixedTypes="1" containsNumber="1" containsInteger="1" minValue="-21" maxValue="290"/>
    </cacheField>
  </cacheFields>
  <extLst>
    <ext xmlns:x14="http://schemas.microsoft.com/office/spreadsheetml/2009/9/main" uri="{725AE2AE-9491-48be-B2B4-4EB974FC3084}">
      <x14:pivotCacheDefinition pivotCacheId="770688152"/>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jwal Biradar" refreshedDate="46162.670982754629" createdVersion="8" refreshedVersion="8" minRefreshableVersion="3" recordCount="202" xr:uid="{C8D5B800-FD69-4A7A-9A9E-25F70DA50B05}">
  <cacheSource type="worksheet">
    <worksheetSource ref="A1:M1048576" sheet="Shipment_Status"/>
  </cacheSource>
  <cacheFields count="13">
    <cacheField name="SH_ID" numFmtId="0">
      <sharedItems containsString="0" containsBlank="1" containsNumber="1" containsInteger="1" minValue="1" maxValue="998"/>
    </cacheField>
    <cacheField name="C_ID" numFmtId="0">
      <sharedItems containsString="0" containsBlank="1" containsNumber="1" containsInteger="1" minValue="3" maxValue="9968"/>
    </cacheField>
    <cacheField name="Shipment_Content" numFmtId="0">
      <sharedItems containsBlank="1"/>
    </cacheField>
    <cacheField name="Shipment_Domain" numFmtId="0">
      <sharedItems containsBlank="1" count="3">
        <s v="Domestic"/>
        <s v="International"/>
        <m/>
      </sharedItems>
    </cacheField>
    <cacheField name="Service_Type" numFmtId="0">
      <sharedItems containsBlank="1"/>
    </cacheField>
    <cacheField name="Shipment_Weight" numFmtId="0">
      <sharedItems containsString="0" containsBlank="1" containsNumber="1" containsInteger="1" minValue="23" maxValue="997"/>
    </cacheField>
    <cacheField name="Shipment_Charges" numFmtId="0">
      <sharedItems containsString="0" containsBlank="1" containsNumber="1" containsInteger="1" minValue="20" maxValue="1486"/>
    </cacheField>
    <cacheField name="SR_ADDR" numFmtId="0">
      <sharedItems containsBlank="1"/>
    </cacheField>
    <cacheField name="DS_ADDR" numFmtId="0">
      <sharedItems containsBlank="1"/>
    </cacheField>
    <cacheField name="Current_Status" numFmtId="0">
      <sharedItems containsBlank="1" count="3">
        <s v="DELIVERED"/>
        <s v="NOT DELIVERED"/>
        <m/>
      </sharedItems>
    </cacheField>
    <cacheField name="Sent_date" numFmtId="14">
      <sharedItems containsNonDate="0" containsDate="1" containsString="0" containsBlank="1" minDate="1971-02-06T00:00:00" maxDate="2019-12-31T00:00:00"/>
    </cacheField>
    <cacheField name="Delivery_date" numFmtId="0">
      <sharedItems containsNonDate="0" containsDate="1" containsString="0" containsBlank="1" minDate="1971-11-01T00:00:00" maxDate="2019-12-13T00:00:00"/>
    </cacheField>
    <cacheField name="ShipmentEfficiency" numFmtId="0">
      <sharedItems containsString="0" containsBlank="1" containsNumber="1" minValue="0.1134" maxValue="1.75"/>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jwal Biradar" refreshedDate="46162.67098333333" createdVersion="8" refreshedVersion="8" minRefreshableVersion="3" recordCount="200" xr:uid="{CF76205E-7805-4D5D-804B-C1EF5B396604}">
  <cacheSource type="worksheet">
    <worksheetSource ref="A1:P201" sheet="Shipment_Status"/>
  </cacheSource>
  <cacheFields count="16">
    <cacheField name="SH_ID" numFmtId="0">
      <sharedItems containsSemiMixedTypes="0" containsString="0" containsNumber="1" containsInteger="1" minValue="1" maxValue="998"/>
    </cacheField>
    <cacheField name="C_ID" numFmtId="0">
      <sharedItems containsSemiMixedTypes="0" containsString="0" containsNumber="1" containsInteger="1" minValue="3" maxValue="9968"/>
    </cacheField>
    <cacheField name="Shipment_Content" numFmtId="0">
      <sharedItems count="11">
        <s v="Healthcare"/>
        <s v="Luggage"/>
        <s v="Home Furnishing"/>
        <s v="Electronics"/>
        <s v="Food and Beverages"/>
        <s v="Fashion"/>
        <s v="Industrial Equipments"/>
        <s v="Hazardous Goods"/>
        <s v="Automotive"/>
        <s v="Construction"/>
        <s v="Arts and crafts"/>
      </sharedItems>
    </cacheField>
    <cacheField name="Shipment_Domain" numFmtId="0">
      <sharedItems count="2">
        <s v="Domestic"/>
        <s v="International"/>
      </sharedItems>
    </cacheField>
    <cacheField name="Service_Type" numFmtId="0">
      <sharedItems count="2">
        <s v="Regular"/>
        <s v="Express"/>
      </sharedItems>
    </cacheField>
    <cacheField name="Shipment_Weight" numFmtId="0">
      <sharedItems containsSemiMixedTypes="0" containsString="0" containsNumber="1" containsInteger="1" minValue="23" maxValue="997"/>
    </cacheField>
    <cacheField name="Shipment_Charges" numFmtId="0">
      <sharedItems containsSemiMixedTypes="0" containsString="0" containsNumber="1" containsInteger="1" minValue="20" maxValue="1486"/>
    </cacheField>
    <cacheField name="SR_ADDR" numFmtId="0">
      <sharedItems/>
    </cacheField>
    <cacheField name="DS_ADDR" numFmtId="0">
      <sharedItems/>
    </cacheField>
    <cacheField name="Current_Status" numFmtId="0">
      <sharedItems/>
    </cacheField>
    <cacheField name="Sent_date" numFmtId="14">
      <sharedItems containsSemiMixedTypes="0" containsNonDate="0" containsDate="1" containsString="0" minDate="1971-02-06T00:00:00" maxDate="2019-12-31T00:00:00"/>
    </cacheField>
    <cacheField name="Delivery_date" numFmtId="0">
      <sharedItems containsNonDate="0" containsDate="1" containsString="0" containsBlank="1" minDate="1971-11-01T00:00:00" maxDate="2019-12-13T00:00:00"/>
    </cacheField>
    <cacheField name="ShipmentEfficiency" numFmtId="0">
      <sharedItems containsSemiMixedTypes="0" containsString="0" containsNumber="1" minValue="0.1134" maxValue="1.75"/>
    </cacheField>
    <cacheField name="Delivery_days" numFmtId="0">
      <sharedItems containsMixedTypes="1" containsNumber="1" containsInteger="1" minValue="-21" maxValue="290"/>
    </cacheField>
    <cacheField name="Delivery_Status" numFmtId="0">
      <sharedItems/>
    </cacheField>
    <cacheField name="Average_sent_month" numFmtId="0">
      <sharedItems count="12">
        <s v="April"/>
        <s v="June"/>
        <s v="August"/>
        <s v="December"/>
        <s v="September"/>
        <s v="July"/>
        <s v="March"/>
        <s v="February"/>
        <s v="May"/>
        <s v="October"/>
        <s v="January"/>
        <s v="Novembe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690"/>
    <n v="230"/>
    <s v="Healthcare"/>
    <s v="Domestic"/>
    <s v="Regular"/>
    <n v="553"/>
    <n v="1210"/>
    <s v="1800 Block of 26TH ST"/>
    <s v="1200 Block of JACKSON ST"/>
    <s v="DELIVERED"/>
    <d v="2014-04-28T00:00:00"/>
    <d v="2014-12-18T00:00:00"/>
    <n v="0.45700000000000002"/>
    <n v="234"/>
    <x v="0"/>
  </r>
  <r>
    <n v="933"/>
    <n v="3189"/>
    <s v="Healthcare"/>
    <s v="International"/>
    <s v="Express"/>
    <n v="810"/>
    <n v="1114"/>
    <s v="2600 Block of ALEMANY BL"/>
    <s v="700 Block of HAMPSHIRE ST"/>
    <s v="DELIVERED"/>
    <d v="1997-06-14T00:00:00"/>
    <d v="1997-07-10T00:00:00"/>
    <n v="0.72709999999999997"/>
    <n v="26"/>
    <x v="1"/>
  </r>
  <r>
    <n v="261"/>
    <n v="2216"/>
    <s v="Luggage"/>
    <s v="Domestic"/>
    <s v="Express"/>
    <n v="994"/>
    <n v="1020"/>
    <s v="BARTLETT ST / 23RD ST"/>
    <s v="500 Block of HAIGHT ST"/>
    <s v="NOT DELIVERED"/>
    <d v="1993-08-14T00:00:00"/>
    <m/>
    <n v="0.97450000000000003"/>
    <s v=""/>
    <x v="0"/>
  </r>
  <r>
    <n v="445"/>
    <n v="1904"/>
    <s v="Home Furnishing"/>
    <s v="Domestic"/>
    <s v="Express"/>
    <n v="598"/>
    <n v="1351"/>
    <s v="1300 Block of 7TH AV"/>
    <s v="300 Block of 9TH ST"/>
    <s v="NOT DELIVERED"/>
    <d v="2019-12-13T00:00:00"/>
    <m/>
    <n v="0.44259999999999999"/>
    <s v=""/>
    <x v="0"/>
  </r>
  <r>
    <n v="722"/>
    <n v="7342"/>
    <s v="Electronics"/>
    <s v="International"/>
    <s v="Express"/>
    <n v="412"/>
    <n v="566"/>
    <s v="0 Block of EUREKA ST"/>
    <s v="1800 Block of VANNESS AV"/>
    <s v="NOT DELIVERED"/>
    <d v="1996-09-21T00:00:00"/>
    <m/>
    <n v="0.72789999999999999"/>
    <s v=""/>
    <x v="0"/>
  </r>
  <r>
    <n v="129"/>
    <n v="7633"/>
    <s v="Food and Beverages"/>
    <s v="Domestic"/>
    <s v="Regular"/>
    <n v="379"/>
    <n v="590"/>
    <s v="700 Block of VANNESS AV"/>
    <s v="500 Block of LEAVENWORTH ST"/>
    <s v="DELIVERED"/>
    <d v="1971-04-23T00:00:00"/>
    <d v="1971-11-01T00:00:00"/>
    <n v="0.64239999999999997"/>
    <n v="192"/>
    <x v="0"/>
  </r>
  <r>
    <n v="489"/>
    <n v="2154"/>
    <s v="Fashion"/>
    <s v="Domestic"/>
    <s v="Regular"/>
    <n v="892"/>
    <n v="1407"/>
    <s v="200 Block of BERRY ST"/>
    <s v="CARROLL AV / JENNINGS ST"/>
    <s v="NOT DELIVERED"/>
    <d v="2005-12-21T00:00:00"/>
    <m/>
    <n v="0.63400000000000001"/>
    <s v=""/>
    <x v="0"/>
  </r>
  <r>
    <n v="165"/>
    <n v="5543"/>
    <s v="Industrial Equipments"/>
    <s v="Domestic"/>
    <s v="Regular"/>
    <n v="347"/>
    <n v="786"/>
    <s v="1100 Block of FRANCISCO ST"/>
    <s v="1000 Block of MARKET ST"/>
    <s v="NOT DELIVERED"/>
    <d v="1979-07-03T00:00:00"/>
    <m/>
    <n v="0.4415"/>
    <s v=""/>
    <x v="0"/>
  </r>
  <r>
    <n v="164"/>
    <n v="2332"/>
    <s v="Hazardous Goods"/>
    <s v="International"/>
    <s v="Express"/>
    <n v="457"/>
    <n v="855"/>
    <s v="100 Block of NEWMONTGOMERY ST"/>
    <s v="600 Block of SOUTH VAN NESS AV"/>
    <s v="NOT DELIVERED"/>
    <d v="1976-04-29T00:00:00"/>
    <m/>
    <n v="0.53449999999999998"/>
    <s v=""/>
    <x v="0"/>
  </r>
  <r>
    <n v="364"/>
    <n v="4094"/>
    <s v="Automotive"/>
    <s v="International"/>
    <s v="Express"/>
    <n v="957"/>
    <n v="1182"/>
    <s v="200 Block of SCOTT ST"/>
    <s v="2600 Block of MISSION ST"/>
    <s v="NOT DELIVERED"/>
    <d v="2012-03-03T00:00:00"/>
    <m/>
    <n v="0.80959999999999999"/>
    <s v=""/>
    <x v="0"/>
  </r>
  <r>
    <n v="469"/>
    <n v="3042"/>
    <s v="Electronics"/>
    <s v="International"/>
    <s v="Regular"/>
    <n v="23"/>
    <n v="25"/>
    <s v="BELVEDERE ST / WALLER ST"/>
    <s v="0 Block of CEDAR ST"/>
    <s v="DELIVERED"/>
    <d v="1991-02-18T00:00:00"/>
    <d v="1991-05-15T00:00:00"/>
    <n v="0.92"/>
    <n v="86"/>
    <x v="0"/>
  </r>
  <r>
    <n v="158"/>
    <n v="2220"/>
    <s v="Healthcare"/>
    <s v="Domestic"/>
    <s v="Express"/>
    <n v="479"/>
    <n v="861"/>
    <s v="800 Block of BRYANT ST"/>
    <s v="500 Block of FREDERICK ST"/>
    <s v="DELIVERED"/>
    <d v="1976-03-31T00:00:00"/>
    <d v="1976-06-30T00:00:00"/>
    <n v="0.55630000000000002"/>
    <n v="91"/>
    <x v="0"/>
  </r>
  <r>
    <n v="337"/>
    <n v="4988"/>
    <s v="Electronics"/>
    <s v="Domestic"/>
    <s v="Express"/>
    <n v="305"/>
    <n v="834"/>
    <s v="1300 Block of CALIFORNIA ST"/>
    <s v="0 Block of RAUSCH ST"/>
    <s v="NOT DELIVERED"/>
    <d v="1976-05-11T00:00:00"/>
    <m/>
    <n v="0.36570000000000003"/>
    <s v=""/>
    <x v="0"/>
  </r>
  <r>
    <n v="634"/>
    <n v="175"/>
    <s v="Healthcare"/>
    <s v="International"/>
    <s v="Express"/>
    <n v="939"/>
    <n v="1446"/>
    <s v="300 Block of CHENERY ST"/>
    <s v="BUSH ST / BUCHANAN ST"/>
    <s v="NOT DELIVERED"/>
    <d v="1980-10-07T00:00:00"/>
    <m/>
    <n v="0.64939999999999998"/>
    <s v=""/>
    <x v="0"/>
  </r>
  <r>
    <n v="577"/>
    <n v="4233"/>
    <s v="Fashion"/>
    <s v="Domestic"/>
    <s v="Regular"/>
    <n v="679"/>
    <n v="1455"/>
    <s v="2600 Block of 18TH ST"/>
    <s v="800 Block of BRYANT ST"/>
    <s v="DELIVERED"/>
    <d v="1987-03-19T00:00:00"/>
    <d v="1987-08-09T00:00:00"/>
    <n v="0.4667"/>
    <n v="143"/>
    <x v="0"/>
  </r>
  <r>
    <n v="907"/>
    <n v="4351"/>
    <s v="Electronics"/>
    <s v="International"/>
    <s v="Express"/>
    <n v="803"/>
    <n v="1020"/>
    <s v="800 Block of 30TH AV"/>
    <s v="1100 Block of MARKET ST"/>
    <s v="NOT DELIVERED"/>
    <d v="2013-07-23T00:00:00"/>
    <m/>
    <n v="0.7873"/>
    <s v=""/>
    <x v="0"/>
  </r>
  <r>
    <n v="870"/>
    <n v="5578"/>
    <s v="Construction"/>
    <s v="Domestic"/>
    <s v="Regular"/>
    <n v="783"/>
    <n v="1042"/>
    <s v="800 Block of GENEVA AV"/>
    <s v="300 Block of 4TH ST"/>
    <s v="NOT DELIVERED"/>
    <d v="2010-03-02T00:00:00"/>
    <m/>
    <n v="0.75139999999999996"/>
    <s v=""/>
    <x v="0"/>
  </r>
  <r>
    <n v="982"/>
    <n v="4523"/>
    <s v="Industrial Equipments"/>
    <s v="Domestic"/>
    <s v="Regular"/>
    <n v="432"/>
    <n v="915"/>
    <s v="800 Block of BRYANT ST"/>
    <s v="100 Block of TOWNSEND ST"/>
    <s v="NOT DELIVERED"/>
    <d v="2017-10-17T00:00:00"/>
    <m/>
    <n v="0.47210000000000002"/>
    <s v=""/>
    <x v="0"/>
  </r>
  <r>
    <n v="351"/>
    <n v="2972"/>
    <s v="Industrial Equipments"/>
    <s v="Domestic"/>
    <s v="Regular"/>
    <n v="776"/>
    <n v="1053"/>
    <s v="15TH ST / SANCHEZ ST"/>
    <s v="1700 Block of FULTON ST"/>
    <s v="DELIVERED"/>
    <d v="1977-01-03T00:00:00"/>
    <d v="1977-07-06T00:00:00"/>
    <n v="0.7369"/>
    <n v="184"/>
    <x v="0"/>
  </r>
  <r>
    <n v="328"/>
    <n v="6153"/>
    <s v="Healthcare"/>
    <s v="Domestic"/>
    <s v="Express"/>
    <n v="710"/>
    <n v="1066"/>
    <s v="900 Block of ELLSWORTH ST"/>
    <s v="400 Block of 28TH ST"/>
    <s v="DELIVERED"/>
    <d v="1997-01-20T00:00:00"/>
    <d v="1997-09-08T00:00:00"/>
    <n v="0.66600000000000004"/>
    <n v="231"/>
    <x v="0"/>
  </r>
  <r>
    <n v="242"/>
    <n v="4852"/>
    <s v="Construction"/>
    <s v="Domestic"/>
    <s v="Regular"/>
    <n v="959"/>
    <n v="1253"/>
    <s v="600 Block of FRANCISCO ST"/>
    <s v="FELL ST / MASONIC AV"/>
    <s v="NOT DELIVERED"/>
    <d v="1996-12-09T00:00:00"/>
    <m/>
    <n v="0.76539999999999997"/>
    <s v=""/>
    <x v="0"/>
  </r>
  <r>
    <n v="421"/>
    <n v="8106"/>
    <s v="Automotive"/>
    <s v="International"/>
    <s v="Regular"/>
    <n v="147"/>
    <n v="535"/>
    <s v="800 Block of BRYANT ST"/>
    <s v="900 Block of RANDOLPH ST"/>
    <s v="DELIVERED"/>
    <d v="1999-02-07T00:00:00"/>
    <d v="1999-03-05T00:00:00"/>
    <n v="0.27479999999999999"/>
    <n v="26"/>
    <x v="1"/>
  </r>
  <r>
    <n v="6"/>
    <n v="3917"/>
    <s v="Arts and crafts"/>
    <s v="International"/>
    <s v="Express"/>
    <n v="613"/>
    <n v="1256"/>
    <s v="800 Block of BRYANT ST"/>
    <s v="0 Block of 6TH ST"/>
    <s v="DELIVERED"/>
    <d v="1977-03-08T00:00:00"/>
    <d v="1977-11-08T00:00:00"/>
    <n v="0.48809999999999998"/>
    <n v="245"/>
    <x v="0"/>
  </r>
  <r>
    <n v="384"/>
    <n v="9377"/>
    <s v="Luggage"/>
    <s v="Domestic"/>
    <s v="Regular"/>
    <n v="590"/>
    <n v="1033"/>
    <s v="ELLIS ST / LAGUNA ST"/>
    <s v="0 Block of HYDE ST"/>
    <s v="NOT DELIVERED"/>
    <d v="1972-02-21T00:00:00"/>
    <m/>
    <n v="0.57120000000000004"/>
    <s v=""/>
    <x v="0"/>
  </r>
  <r>
    <n v="286"/>
    <n v="5387"/>
    <s v="Electronics"/>
    <s v="Domestic"/>
    <s v="Regular"/>
    <n v="193"/>
    <n v="817"/>
    <s v="100 Block of STEUART ST"/>
    <s v="900 Block of VALENCIA ST"/>
    <s v="DELIVERED"/>
    <d v="2005-06-06T00:00:00"/>
    <d v="2005-09-15T00:00:00"/>
    <n v="0.23619999999999999"/>
    <n v="101"/>
    <x v="0"/>
  </r>
  <r>
    <n v="892"/>
    <n v="6513"/>
    <s v="Luggage"/>
    <s v="Domestic"/>
    <s v="Regular"/>
    <n v="879"/>
    <n v="1037"/>
    <s v="700 Block of FOLSOM ST"/>
    <s v="300 Block of ARBALLO DR"/>
    <s v="DELIVERED"/>
    <d v="2019-11-17T00:00:00"/>
    <d v="2019-12-12T00:00:00"/>
    <n v="0.84760000000000002"/>
    <n v="25"/>
    <x v="1"/>
  </r>
  <r>
    <n v="558"/>
    <n v="3965"/>
    <s v="Industrial Equipments"/>
    <s v="Domestic"/>
    <s v="Regular"/>
    <n v="275"/>
    <n v="951"/>
    <s v="1600 Block of VANNESS AV"/>
    <s v="100 Block of PHELAN AV"/>
    <s v="DELIVERED"/>
    <d v="2013-10-27T00:00:00"/>
    <d v="2013-11-15T00:00:00"/>
    <n v="0.28920000000000001"/>
    <n v="19"/>
    <x v="1"/>
  </r>
  <r>
    <n v="481"/>
    <n v="8893"/>
    <s v="Construction"/>
    <s v="International"/>
    <s v="Regular"/>
    <n v="319"/>
    <n v="770"/>
    <s v="800 Block of MARKET ST"/>
    <s v="0 Block of GORDON ST"/>
    <s v="NOT DELIVERED"/>
    <d v="2006-07-11T00:00:00"/>
    <m/>
    <n v="0.4143"/>
    <s v=""/>
    <x v="0"/>
  </r>
  <r>
    <n v="155"/>
    <n v="1897"/>
    <s v="Hazardous Goods"/>
    <s v="Domestic"/>
    <s v="Express"/>
    <n v="52"/>
    <n v="293"/>
    <s v="800 Block of BRYANT ST"/>
    <s v="600 Block of VALENCIA ST"/>
    <s v="NOT DELIVERED"/>
    <d v="2003-09-23T00:00:00"/>
    <m/>
    <n v="0.17749999999999999"/>
    <s v=""/>
    <x v="0"/>
  </r>
  <r>
    <n v="771"/>
    <n v="390"/>
    <s v="Electronics"/>
    <s v="Domestic"/>
    <s v="Regular"/>
    <n v="702"/>
    <n v="1414"/>
    <s v="SHOTWELL ST / 17TH ST"/>
    <s v="EDDY ST / HYDE ST"/>
    <s v="DELIVERED"/>
    <d v="2013-05-03T00:00:00"/>
    <d v="2013-11-15T00:00:00"/>
    <n v="0.4965"/>
    <n v="196"/>
    <x v="0"/>
  </r>
  <r>
    <n v="945"/>
    <n v="3633"/>
    <s v="Healthcare"/>
    <s v="Domestic"/>
    <s v="Express"/>
    <n v="299"/>
    <n v="524"/>
    <s v="1500 Block of BAKER ST"/>
    <s v="LIPPARD AV / BOSWORTH ST"/>
    <s v="DELIVERED"/>
    <d v="2001-04-29T00:00:00"/>
    <d v="2001-08-10T00:00:00"/>
    <n v="0.5706"/>
    <n v="103"/>
    <x v="0"/>
  </r>
  <r>
    <n v="719"/>
    <n v="7828"/>
    <s v="Arts and crafts"/>
    <s v="Domestic"/>
    <s v="Regular"/>
    <n v="930"/>
    <n v="1183"/>
    <s v="100 Block of BERRY ST"/>
    <s v="KERN ST / DIAMOND ST"/>
    <s v="DELIVERED"/>
    <d v="2006-01-22T00:00:00"/>
    <d v="2006-07-17T00:00:00"/>
    <n v="0.78610000000000002"/>
    <n v="176"/>
    <x v="0"/>
  </r>
  <r>
    <n v="493"/>
    <n v="2241"/>
    <s v="Home Furnishing"/>
    <s v="Domestic"/>
    <s v="Regular"/>
    <n v="314"/>
    <n v="566"/>
    <s v="700 Block of HOWARD ST"/>
    <s v="HARRISON ST / 3RD ST"/>
    <s v="NOT DELIVERED"/>
    <d v="1995-08-20T00:00:00"/>
    <m/>
    <n v="0.55479999999999996"/>
    <s v=""/>
    <x v="0"/>
  </r>
  <r>
    <n v="998"/>
    <n v="896"/>
    <s v="Hazardous Goods"/>
    <s v="International"/>
    <s v="Express"/>
    <n v="109"/>
    <n v="961"/>
    <s v="0 Block of LEE AV"/>
    <s v="0 Block of FALLON PL"/>
    <s v="DELIVERED"/>
    <d v="2013-11-21T00:00:00"/>
    <d v="2013-11-15T00:00:00"/>
    <n v="0.1134"/>
    <n v="-6"/>
    <x v="2"/>
  </r>
  <r>
    <n v="968"/>
    <n v="6361"/>
    <s v="Food and Beverages"/>
    <s v="Domestic"/>
    <s v="Regular"/>
    <n v="24"/>
    <n v="54"/>
    <s v="STOCKTON ST / BROADWAY ST"/>
    <s v="900 Block of GEARY ST"/>
    <s v="DELIVERED"/>
    <d v="1993-01-04T00:00:00"/>
    <d v="1993-08-02T00:00:00"/>
    <n v="0.44440000000000002"/>
    <n v="210"/>
    <x v="0"/>
  </r>
  <r>
    <n v="738"/>
    <n v="6713"/>
    <s v="Electronics"/>
    <s v="Domestic"/>
    <s v="Express"/>
    <n v="545"/>
    <n v="1044"/>
    <s v="LAKE MERCED BL / BROTHERHOOD WAY"/>
    <s v="HARRISON ST / THE EMBARCADEROSOUTH ST"/>
    <s v="NOT DELIVERED"/>
    <d v="1977-09-19T00:00:00"/>
    <m/>
    <n v="0.52200000000000002"/>
    <s v=""/>
    <x v="0"/>
  </r>
  <r>
    <n v="912"/>
    <n v="4283"/>
    <s v="Fashion"/>
    <s v="International"/>
    <s v="Regular"/>
    <n v="505"/>
    <n v="1082"/>
    <s v="GEARY ST / POLK ST"/>
    <s v="1600 Block of LASALLE AV"/>
    <s v="NOT DELIVERED"/>
    <d v="2019-12-30T00:00:00"/>
    <m/>
    <n v="0.4667"/>
    <s v=""/>
    <x v="0"/>
  </r>
  <r>
    <n v="782"/>
    <n v="9486"/>
    <s v="Electronics"/>
    <s v="International"/>
    <s v="Regular"/>
    <n v="182"/>
    <n v="871"/>
    <s v="1400 Block of DOUGLASS ST"/>
    <s v="48TH AV / JUDAH ST"/>
    <s v="DELIVERED"/>
    <d v="2002-08-31T00:00:00"/>
    <d v="2002-10-20T00:00:00"/>
    <n v="0.20899999999999999"/>
    <n v="50"/>
    <x v="0"/>
  </r>
  <r>
    <n v="140"/>
    <n v="308"/>
    <s v="Luggage"/>
    <s v="International"/>
    <s v="Regular"/>
    <n v="226"/>
    <n v="970"/>
    <s v="100 Block of FONT BL"/>
    <s v="1000 Block of KEY AV"/>
    <s v="DELIVERED"/>
    <d v="2006-06-10T00:00:00"/>
    <d v="2006-07-17T00:00:00"/>
    <n v="0.23300000000000001"/>
    <n v="37"/>
    <x v="0"/>
  </r>
  <r>
    <n v="702"/>
    <n v="8927"/>
    <s v="Home Furnishing"/>
    <s v="International"/>
    <s v="Regular"/>
    <n v="111"/>
    <n v="617"/>
    <s v="HOLLOWAY AV / BRIGHTON AV"/>
    <s v="TAYLOR ST / GOLDEN GATE AV"/>
    <s v="DELIVERED"/>
    <d v="2004-07-07T00:00:00"/>
    <d v="2004-11-20T00:00:00"/>
    <n v="0.1799"/>
    <n v="136"/>
    <x v="0"/>
  </r>
  <r>
    <n v="284"/>
    <n v="249"/>
    <s v="Hazardous Goods"/>
    <s v="International"/>
    <s v="Express"/>
    <n v="145"/>
    <n v="814"/>
    <s v="1800 Block of KIRKHAM ST"/>
    <s v="800 Block of BRYANT ST"/>
    <s v="DELIVERED"/>
    <d v="1982-02-06T00:00:00"/>
    <d v="1982-03-08T00:00:00"/>
    <n v="0.17810000000000001"/>
    <n v="30"/>
    <x v="1"/>
  </r>
  <r>
    <n v="199"/>
    <n v="2620"/>
    <s v="Electronics"/>
    <s v="Domestic"/>
    <s v="Regular"/>
    <n v="829"/>
    <n v="1145"/>
    <s v="500 Block of TUNNEL AV"/>
    <s v="1600 Block of TURK ST"/>
    <s v="NOT DELIVERED"/>
    <d v="2007-07-27T00:00:00"/>
    <m/>
    <n v="0.72399999999999998"/>
    <s v=""/>
    <x v="0"/>
  </r>
  <r>
    <n v="228"/>
    <n v="1164"/>
    <s v="Electronics"/>
    <s v="Domestic"/>
    <s v="Regular"/>
    <n v="269"/>
    <n v="902"/>
    <s v="800 Block of BRYANT ST"/>
    <s v="100 Block of SPEAR ST"/>
    <s v="DELIVERED"/>
    <d v="1994-03-30T00:00:00"/>
    <d v="1994-04-09T00:00:00"/>
    <n v="0.29820000000000002"/>
    <n v="10"/>
    <x v="1"/>
  </r>
  <r>
    <n v="908"/>
    <n v="4711"/>
    <s v="Hazardous Goods"/>
    <s v="International"/>
    <s v="Regular"/>
    <n v="660"/>
    <n v="1470"/>
    <s v="200 Block of CHENERY ST"/>
    <s v="2900 Block of DIAMOND ST"/>
    <s v="NOT DELIVERED"/>
    <d v="1999-01-28T00:00:00"/>
    <m/>
    <n v="0.44900000000000001"/>
    <s v=""/>
    <x v="0"/>
  </r>
  <r>
    <n v="594"/>
    <n v="4053"/>
    <s v="Home Furnishing"/>
    <s v="Domestic"/>
    <s v="Regular"/>
    <n v="484"/>
    <n v="568"/>
    <s v="1000 Block of POTRERO AV"/>
    <s v="400 Block of ROLPH ST"/>
    <s v="NOT DELIVERED"/>
    <d v="2004-03-20T00:00:00"/>
    <m/>
    <n v="0.85209999999999997"/>
    <s v=""/>
    <x v="0"/>
  </r>
  <r>
    <n v="542"/>
    <n v="4272"/>
    <s v="Food and Beverages"/>
    <s v="International"/>
    <s v="Regular"/>
    <n v="100"/>
    <n v="487"/>
    <s v="100 Block of HYDE ST"/>
    <s v="BANCROFT AV / KEITH ST"/>
    <s v="NOT DELIVERED"/>
    <d v="1986-05-19T00:00:00"/>
    <m/>
    <n v="0.20530000000000001"/>
    <s v=""/>
    <x v="0"/>
  </r>
  <r>
    <n v="586"/>
    <n v="7005"/>
    <s v="Construction"/>
    <s v="Domestic"/>
    <s v="Express"/>
    <n v="711"/>
    <n v="1197"/>
    <s v="1100 Block of HUDSON AV"/>
    <s v="MYRTLE ST / LARKIN ST"/>
    <s v="NOT DELIVERED"/>
    <d v="1977-03-08T00:00:00"/>
    <m/>
    <n v="0.59399999999999997"/>
    <s v=""/>
    <x v="0"/>
  </r>
  <r>
    <n v="636"/>
    <n v="2308"/>
    <s v="Home Furnishing"/>
    <s v="International"/>
    <s v="Regular"/>
    <n v="325"/>
    <n v="994"/>
    <s v="STOCKTON ST / POST ST"/>
    <s v="500 Block of MAGELLAN AV"/>
    <s v="DELIVERED"/>
    <d v="2008-02-24T00:00:00"/>
    <d v="2008-08-09T00:00:00"/>
    <n v="0.32700000000000001"/>
    <n v="167"/>
    <x v="0"/>
  </r>
  <r>
    <n v="581"/>
    <n v="5150"/>
    <s v="Automotive"/>
    <s v="Domestic"/>
    <s v="Regular"/>
    <n v="209"/>
    <n v="933"/>
    <s v="LEAVENWORTH ST / TURK ST"/>
    <s v="1600 Block of 38TH AV"/>
    <s v="NOT DELIVERED"/>
    <d v="2017-11-24T00:00:00"/>
    <m/>
    <n v="0.224"/>
    <s v=""/>
    <x v="0"/>
  </r>
  <r>
    <n v="336"/>
    <n v="693"/>
    <s v="Construction"/>
    <s v="International"/>
    <s v="Express"/>
    <n v="996"/>
    <n v="1168"/>
    <s v="800 Block of BRYANT ST"/>
    <s v="3300 Block of MISSION ST"/>
    <s v="NOT DELIVERED"/>
    <d v="1972-10-09T00:00:00"/>
    <m/>
    <n v="0.85270000000000001"/>
    <s v=""/>
    <x v="0"/>
  </r>
  <r>
    <n v="504"/>
    <n v="9598"/>
    <s v="Luggage"/>
    <s v="International"/>
    <s v="Regular"/>
    <n v="420"/>
    <n v="561"/>
    <s v="4200 Block of 26TH ST"/>
    <s v="0 Block of TURK ST"/>
    <s v="DELIVERED"/>
    <d v="1982-07-11T00:00:00"/>
    <d v="1982-10-15T00:00:00"/>
    <n v="0.74870000000000003"/>
    <n v="96"/>
    <x v="0"/>
  </r>
  <r>
    <n v="346"/>
    <n v="8103"/>
    <s v="Industrial Equipments"/>
    <s v="International"/>
    <s v="Express"/>
    <n v="182"/>
    <n v="850"/>
    <s v="BLAKE ST / GEARY BL"/>
    <s v="BROADWAY ST / COLUMBUS AV"/>
    <s v="DELIVERED"/>
    <d v="2007-06-05T00:00:00"/>
    <d v="2007-07-12T00:00:00"/>
    <n v="0.21410000000000001"/>
    <n v="37"/>
    <x v="0"/>
  </r>
  <r>
    <n v="135"/>
    <n v="8894"/>
    <s v="Construction"/>
    <s v="Domestic"/>
    <s v="Express"/>
    <n v="901"/>
    <n v="1393"/>
    <s v="WASHINGTON ST / DRUMM ST"/>
    <s v="1200 Block of PINE ST"/>
    <s v="NOT DELIVERED"/>
    <d v="2004-09-10T00:00:00"/>
    <m/>
    <n v="0.64680000000000004"/>
    <s v=""/>
    <x v="0"/>
  </r>
  <r>
    <n v="822"/>
    <n v="114"/>
    <s v="Construction"/>
    <s v="International"/>
    <s v="Regular"/>
    <n v="88"/>
    <n v="426"/>
    <s v="EXECUTIVEPARK BL / ALANA WY"/>
    <s v="900 Block of MISSION ST"/>
    <s v="DELIVERED"/>
    <d v="1991-06-30T00:00:00"/>
    <d v="1991-07-15T00:00:00"/>
    <n v="0.20660000000000001"/>
    <n v="15"/>
    <x v="1"/>
  </r>
  <r>
    <n v="95"/>
    <n v="6546"/>
    <s v="Electronics"/>
    <s v="Domestic"/>
    <s v="Regular"/>
    <n v="660"/>
    <n v="1208"/>
    <s v="0 Block of BROOKDALE AV"/>
    <s v="1300 Block of EGBERT AV"/>
    <s v="NOT DELIVERED"/>
    <d v="2013-04-11T00:00:00"/>
    <m/>
    <n v="0.5464"/>
    <s v=""/>
    <x v="0"/>
  </r>
  <r>
    <n v="597"/>
    <n v="3571"/>
    <s v="Luggage"/>
    <s v="Domestic"/>
    <s v="Regular"/>
    <n v="267"/>
    <n v="925"/>
    <s v="3600 Block of 22ND ST"/>
    <s v="200 Block of NAGLEE AV"/>
    <s v="NOT DELIVERED"/>
    <d v="2010-07-26T00:00:00"/>
    <m/>
    <n v="0.28860000000000002"/>
    <s v=""/>
    <x v="0"/>
  </r>
  <r>
    <n v="340"/>
    <n v="7316"/>
    <s v="Fashion"/>
    <s v="International"/>
    <s v="Express"/>
    <n v="905"/>
    <n v="1392"/>
    <s v="700 Block of 3RD ST"/>
    <s v="FRANCISCO ST / JONES ST"/>
    <s v="NOT DELIVERED"/>
    <d v="1981-11-03T00:00:00"/>
    <m/>
    <n v="0.65010000000000001"/>
    <s v=""/>
    <x v="0"/>
  </r>
  <r>
    <n v="905"/>
    <n v="2478"/>
    <s v="Luggage"/>
    <s v="Domestic"/>
    <s v="Express"/>
    <n v="799"/>
    <n v="1425"/>
    <s v="1700 Block of 25TH ST"/>
    <s v="1300 Block of BROADWAY ST"/>
    <s v="DELIVERED"/>
    <d v="1983-04-11T00:00:00"/>
    <d v="1983-09-30T00:00:00"/>
    <n v="0.56069999999999998"/>
    <n v="172"/>
    <x v="0"/>
  </r>
  <r>
    <n v="250"/>
    <n v="1215"/>
    <s v="Construction"/>
    <s v="International"/>
    <s v="Express"/>
    <n v="773"/>
    <n v="1225"/>
    <s v="1200 Block of POLK ST"/>
    <s v="1200 Block of MARKET ST"/>
    <s v="DELIVERED"/>
    <d v="2006-09-18T00:00:00"/>
    <d v="2006-10-22T00:00:00"/>
    <n v="0.63100000000000001"/>
    <n v="34"/>
    <x v="0"/>
  </r>
  <r>
    <n v="400"/>
    <n v="5402"/>
    <s v="Luggage"/>
    <s v="Domestic"/>
    <s v="Express"/>
    <n v="78"/>
    <n v="403"/>
    <s v="EARL ST / LASALLE AV"/>
    <s v="1400 Block of KIRKWOOD CT"/>
    <s v="NOT DELIVERED"/>
    <d v="2003-01-07T00:00:00"/>
    <m/>
    <n v="0.19350000000000001"/>
    <s v=""/>
    <x v="0"/>
  </r>
  <r>
    <n v="877"/>
    <n v="1647"/>
    <s v="Industrial Equipments"/>
    <s v="Domestic"/>
    <s v="Express"/>
    <n v="791"/>
    <n v="1169"/>
    <s v="CLARA ST / 4TH ST"/>
    <s v="100 Block of ATOLL CR"/>
    <s v="DELIVERED"/>
    <d v="2000-01-25T00:00:00"/>
    <d v="2000-03-22T00:00:00"/>
    <n v="0.67659999999999998"/>
    <n v="57"/>
    <x v="0"/>
  </r>
  <r>
    <n v="97"/>
    <n v="9423"/>
    <s v="Construction"/>
    <s v="Domestic"/>
    <s v="Express"/>
    <n v="603"/>
    <n v="1167"/>
    <s v="0 Block of STEINER ST"/>
    <s v="1100 Block of FRANCISCO ST"/>
    <s v="NOT DELIVERED"/>
    <d v="2011-05-25T00:00:00"/>
    <m/>
    <n v="0.51670000000000005"/>
    <s v=""/>
    <x v="0"/>
  </r>
  <r>
    <n v="12"/>
    <n v="6404"/>
    <s v="Construction"/>
    <s v="Domestic"/>
    <s v="Regular"/>
    <n v="360"/>
    <n v="565"/>
    <s v="1800 Block of 8TH AV"/>
    <s v="JONES ST / GOLDEN GATE AV"/>
    <s v="NOT DELIVERED"/>
    <d v="2000-06-18T00:00:00"/>
    <m/>
    <n v="0.63719999999999999"/>
    <s v=""/>
    <x v="0"/>
  </r>
  <r>
    <n v="353"/>
    <n v="6767"/>
    <s v="Fashion"/>
    <s v="Domestic"/>
    <s v="Express"/>
    <n v="84"/>
    <n v="354"/>
    <s v="HARRISON ST / 11TH ST"/>
    <s v="BROADWAY ST / KEARNY ST"/>
    <s v="DELIVERED"/>
    <d v="2012-08-02T00:00:00"/>
    <d v="2012-10-04T00:00:00"/>
    <n v="0.23730000000000001"/>
    <n v="63"/>
    <x v="0"/>
  </r>
  <r>
    <n v="856"/>
    <n v="1278"/>
    <s v="Automotive"/>
    <s v="Domestic"/>
    <s v="Regular"/>
    <n v="880"/>
    <n v="1178"/>
    <s v="500 Block of HYDE ST"/>
    <s v="400 Block of CAPP ST"/>
    <s v="DELIVERED"/>
    <d v="1977-06-26T00:00:00"/>
    <d v="1977-11-08T00:00:00"/>
    <n v="0.747"/>
    <n v="135"/>
    <x v="0"/>
  </r>
  <r>
    <n v="1"/>
    <n v="1334"/>
    <s v="Arts and crafts"/>
    <s v="International"/>
    <s v="Express"/>
    <n v="947"/>
    <n v="1385"/>
    <s v="LARKIN ST / ELLIS ST"/>
    <s v="2700 Block of DIAMOND ST"/>
    <s v="DELIVERED"/>
    <d v="2010-02-13T00:00:00"/>
    <d v="2010-11-30T00:00:00"/>
    <n v="0.68379999999999996"/>
    <n v="290"/>
    <x v="0"/>
  </r>
  <r>
    <n v="390"/>
    <n v="8887"/>
    <s v="Automotive"/>
    <s v="Domestic"/>
    <s v="Regular"/>
    <n v="234"/>
    <n v="780"/>
    <s v="6500 Block of 3RD ST"/>
    <s v="800 Block of 33RD AV"/>
    <s v="DELIVERED"/>
    <d v="2009-03-24T00:00:00"/>
    <d v="2009-03-09T00:00:00"/>
    <n v="0.3"/>
    <n v="-15"/>
    <x v="2"/>
  </r>
  <r>
    <n v="446"/>
    <n v="9858"/>
    <s v="Food and Beverages"/>
    <s v="Domestic"/>
    <s v="Express"/>
    <n v="931"/>
    <n v="1247"/>
    <s v="0 Block of WHITFIELD CT"/>
    <s v="1500 Block of POWELL ST"/>
    <s v="NOT DELIVERED"/>
    <d v="1993-04-25T00:00:00"/>
    <m/>
    <n v="0.74660000000000004"/>
    <s v=""/>
    <x v="0"/>
  </r>
  <r>
    <n v="32"/>
    <n v="9636"/>
    <s v="Arts and crafts"/>
    <s v="Domestic"/>
    <s v="Express"/>
    <n v="478"/>
    <n v="705"/>
    <s v="1100 Block of OCEAN AV"/>
    <s v="900 Block of DEHARO ST"/>
    <s v="NOT DELIVERED"/>
    <d v="2004-08-30T00:00:00"/>
    <m/>
    <n v="0.67800000000000005"/>
    <s v=""/>
    <x v="0"/>
  </r>
  <r>
    <n v="420"/>
    <n v="9943"/>
    <s v="Industrial Equipments"/>
    <s v="Domestic"/>
    <s v="Express"/>
    <n v="638"/>
    <n v="1130"/>
    <s v="BRYANT ST / 4TH ST"/>
    <s v="1300 Block of MISSION ST"/>
    <s v="NOT DELIVERED"/>
    <d v="1989-01-02T00:00:00"/>
    <m/>
    <n v="0.56459999999999999"/>
    <s v=""/>
    <x v="0"/>
  </r>
  <r>
    <n v="708"/>
    <n v="1246"/>
    <s v="Industrial Equipments"/>
    <s v="Domestic"/>
    <s v="Express"/>
    <n v="50"/>
    <n v="72"/>
    <s v="900 Block of CONNECTICUT ST"/>
    <s v="LEAVENWORTH ST / EDDY ST"/>
    <s v="DELIVERED"/>
    <d v="2019-02-19T00:00:00"/>
    <d v="2019-07-31T00:00:00"/>
    <n v="0.69440000000000002"/>
    <n v="162"/>
    <x v="0"/>
  </r>
  <r>
    <n v="227"/>
    <n v="4527"/>
    <s v="Industrial Equipments"/>
    <s v="International"/>
    <s v="Regular"/>
    <n v="477"/>
    <n v="564"/>
    <s v="POLK ST / BEACH ST"/>
    <s v="700 Block of LARKIN ST"/>
    <s v="DELIVERED"/>
    <d v="2002-01-25T00:00:00"/>
    <d v="2002-01-05T00:00:00"/>
    <n v="0.84570000000000001"/>
    <n v="-20"/>
    <x v="2"/>
  </r>
  <r>
    <n v="595"/>
    <n v="3782"/>
    <s v="Fashion"/>
    <s v="International"/>
    <s v="Regular"/>
    <n v="879"/>
    <n v="1040"/>
    <s v="37TH AV / RIVERA ST"/>
    <s v="1200 Block of 36TH AV"/>
    <s v="NOT DELIVERED"/>
    <d v="2003-05-10T00:00:00"/>
    <m/>
    <n v="0.84519999999999995"/>
    <s v=""/>
    <x v="0"/>
  </r>
  <r>
    <n v="211"/>
    <n v="6225"/>
    <s v="Electronics"/>
    <s v="Domestic"/>
    <s v="Express"/>
    <n v="912"/>
    <n v="1220"/>
    <s v="FREMONT ST / HARRISON ST"/>
    <s v="0 Block of CRESTLAKE DR"/>
    <s v="DELIVERED"/>
    <d v="2006-03-17T00:00:00"/>
    <d v="2006-12-23T00:00:00"/>
    <n v="0.74750000000000005"/>
    <n v="281"/>
    <x v="0"/>
  </r>
  <r>
    <n v="650"/>
    <n v="2257"/>
    <s v="Food and Beverages"/>
    <s v="International"/>
    <s v="Regular"/>
    <n v="868"/>
    <n v="1141"/>
    <s v="400 Block of GENEVA AV"/>
    <s v="POWELL ST / OFARRELL ST"/>
    <s v="NOT DELIVERED"/>
    <d v="2007-06-18T00:00:00"/>
    <m/>
    <n v="0.76070000000000004"/>
    <s v=""/>
    <x v="0"/>
  </r>
  <r>
    <n v="45"/>
    <n v="9177"/>
    <s v="Healthcare"/>
    <s v="Domestic"/>
    <s v="Express"/>
    <n v="889"/>
    <n v="1050"/>
    <s v="20TH ST / KANSAS ST"/>
    <s v="JEFFERSON ST / TAYLOR ST"/>
    <s v="DELIVERED"/>
    <d v="1996-03-03T00:00:00"/>
    <d v="1996-05-01T00:00:00"/>
    <n v="0.84670000000000001"/>
    <n v="59"/>
    <x v="0"/>
  </r>
  <r>
    <n v="201"/>
    <n v="8703"/>
    <s v="Home Furnishing"/>
    <s v="Domestic"/>
    <s v="Regular"/>
    <n v="482"/>
    <n v="850"/>
    <s v="4000 Block of 18TH ST"/>
    <s v="500 Block of ELLIS ST"/>
    <s v="NOT DELIVERED"/>
    <d v="1982-12-02T00:00:00"/>
    <m/>
    <n v="0.56710000000000005"/>
    <s v=""/>
    <x v="0"/>
  </r>
  <r>
    <n v="564"/>
    <n v="3514"/>
    <s v="Healthcare"/>
    <s v="International"/>
    <s v="Express"/>
    <n v="683"/>
    <n v="1275"/>
    <s v="1400 Block of 14TH AV"/>
    <s v="1800 Block of DIVISADERO ST"/>
    <s v="DELIVERED"/>
    <d v="2004-05-02T00:00:00"/>
    <d v="2004-09-25T00:00:00"/>
    <n v="0.53569999999999995"/>
    <n v="146"/>
    <x v="0"/>
  </r>
  <r>
    <n v="138"/>
    <n v="3089"/>
    <s v="Home Furnishing"/>
    <s v="Domestic"/>
    <s v="Regular"/>
    <n v="382"/>
    <n v="714"/>
    <s v="200 Block of 2ND ST"/>
    <s v="0 Block of THRIFT ST"/>
    <s v="NOT DELIVERED"/>
    <d v="2008-02-22T00:00:00"/>
    <m/>
    <n v="0.53500000000000003"/>
    <s v=""/>
    <x v="0"/>
  </r>
  <r>
    <n v="57"/>
    <n v="7253"/>
    <s v="Construction"/>
    <s v="Domestic"/>
    <s v="Regular"/>
    <n v="753"/>
    <n v="1027"/>
    <s v="2900 Block of TURK ST"/>
    <s v="300 Block of DEMONTFORT AV"/>
    <s v="DELIVERED"/>
    <d v="2004-03-18T00:00:00"/>
    <d v="2004-03-02T00:00:00"/>
    <n v="0.73319999999999996"/>
    <n v="-16"/>
    <x v="2"/>
  </r>
  <r>
    <n v="128"/>
    <n v="8786"/>
    <s v="Arts and crafts"/>
    <s v="International"/>
    <s v="Express"/>
    <n v="718"/>
    <n v="1486"/>
    <s v="0 Block of 7TH ST"/>
    <s v="300 Block of 10TH ST"/>
    <s v="NOT DELIVERED"/>
    <d v="1992-03-22T00:00:00"/>
    <m/>
    <n v="0.48320000000000002"/>
    <s v=""/>
    <x v="0"/>
  </r>
  <r>
    <n v="33"/>
    <n v="1211"/>
    <s v="Industrial Equipments"/>
    <s v="Domestic"/>
    <s v="Express"/>
    <n v="577"/>
    <n v="1312"/>
    <s v="0 Block of CUMBERLAND ST"/>
    <s v="200 Block of POPLAR ST"/>
    <s v="NOT DELIVERED"/>
    <d v="1988-04-05T00:00:00"/>
    <m/>
    <n v="0.43980000000000002"/>
    <s v=""/>
    <x v="0"/>
  </r>
  <r>
    <n v="936"/>
    <n v="359"/>
    <s v="Electronics"/>
    <s v="International"/>
    <s v="Express"/>
    <n v="607"/>
    <n v="1007"/>
    <s v="1100 Block of POLK ST"/>
    <s v="800 Block of OFARRELL ST"/>
    <s v="NOT DELIVERED"/>
    <d v="2013-02-09T00:00:00"/>
    <m/>
    <n v="0.6028"/>
    <s v=""/>
    <x v="0"/>
  </r>
  <r>
    <n v="762"/>
    <n v="2066"/>
    <s v="Automotive"/>
    <s v="International"/>
    <s v="Regular"/>
    <n v="242"/>
    <n v="926"/>
    <s v="16TH ST / UTAH ST"/>
    <s v="400 Block of CASTRO ST"/>
    <s v="NOT DELIVERED"/>
    <d v="1978-03-21T00:00:00"/>
    <m/>
    <n v="0.26129999999999998"/>
    <s v=""/>
    <x v="0"/>
  </r>
  <r>
    <n v="838"/>
    <n v="4322"/>
    <s v="Industrial Equipments"/>
    <s v="International"/>
    <s v="Express"/>
    <n v="593"/>
    <n v="1036"/>
    <s v="100 Block of GOLDEN GATE AV"/>
    <s v="800 Block of MISSION ST"/>
    <s v="DELIVERED"/>
    <d v="1995-01-05T00:00:00"/>
    <d v="1995-08-23T00:00:00"/>
    <n v="0.57240000000000002"/>
    <n v="230"/>
    <x v="0"/>
  </r>
  <r>
    <n v="215"/>
    <n v="7773"/>
    <s v="Electronics"/>
    <s v="Domestic"/>
    <s v="Express"/>
    <n v="812"/>
    <n v="1161"/>
    <s v="1500 Block of POLK ST"/>
    <s v="600 Block of KANSAS ST"/>
    <s v="DELIVERED"/>
    <d v="1985-01-10T00:00:00"/>
    <d v="1985-01-31T00:00:00"/>
    <n v="0.69940000000000002"/>
    <n v="21"/>
    <x v="1"/>
  </r>
  <r>
    <n v="818"/>
    <n v="6746"/>
    <s v="Hazardous Goods"/>
    <s v="Domestic"/>
    <s v="Express"/>
    <n v="833"/>
    <n v="1016"/>
    <s v="POLK ST / SUTTER ST"/>
    <s v="1200 Block of NOE ST"/>
    <s v="DELIVERED"/>
    <d v="2006-08-28T00:00:00"/>
    <d v="2006-10-20T00:00:00"/>
    <n v="0.81989999999999996"/>
    <n v="53"/>
    <x v="0"/>
  </r>
  <r>
    <n v="780"/>
    <n v="6732"/>
    <s v="Healthcare"/>
    <s v="International"/>
    <s v="Express"/>
    <n v="872"/>
    <n v="1058"/>
    <s v="100 Block of BREWSTER ST"/>
    <s v="900 Block of MARKET ST"/>
    <s v="DELIVERED"/>
    <d v="1989-10-12T00:00:00"/>
    <d v="1989-10-17T00:00:00"/>
    <n v="0.82420000000000004"/>
    <n v="5"/>
    <x v="3"/>
  </r>
  <r>
    <n v="40"/>
    <n v="805"/>
    <s v="Arts and crafts"/>
    <s v="Domestic"/>
    <s v="Regular"/>
    <n v="483"/>
    <n v="648"/>
    <s v="0 Block of TURK ST"/>
    <s v="900 Block of CAPITOL AV"/>
    <s v="NOT DELIVERED"/>
    <d v="1980-05-03T00:00:00"/>
    <m/>
    <n v="0.74539999999999995"/>
    <s v=""/>
    <x v="0"/>
  </r>
  <r>
    <n v="366"/>
    <n v="7540"/>
    <s v="Fashion"/>
    <s v="International"/>
    <s v="Regular"/>
    <n v="679"/>
    <n v="1015"/>
    <s v="1700 Block of SUNNYDALE AV"/>
    <s v="400 Block of BAKER ST"/>
    <s v="DELIVERED"/>
    <d v="1980-03-01T00:00:00"/>
    <d v="1980-03-16T00:00:00"/>
    <n v="0.66900000000000004"/>
    <n v="15"/>
    <x v="1"/>
  </r>
  <r>
    <n v="678"/>
    <n v="5269"/>
    <s v="Hazardous Goods"/>
    <s v="International"/>
    <s v="Express"/>
    <n v="318"/>
    <n v="938"/>
    <s v="SOUTH VAN NESS AV / 13TH ST"/>
    <s v="100 Block of LELAND AV"/>
    <s v="NOT DELIVERED"/>
    <d v="1994-01-15T00:00:00"/>
    <m/>
    <n v="0.33900000000000002"/>
    <s v=""/>
    <x v="0"/>
  </r>
  <r>
    <n v="703"/>
    <n v="8404"/>
    <s v="Home Furnishing"/>
    <s v="Domestic"/>
    <s v="Express"/>
    <n v="329"/>
    <n v="597"/>
    <s v="22ND ST / CAROLINA ST"/>
    <s v="2600 Block of FOLSOM ST"/>
    <s v="NOT DELIVERED"/>
    <d v="2017-01-25T00:00:00"/>
    <m/>
    <n v="0.55110000000000003"/>
    <s v=""/>
    <x v="0"/>
  </r>
  <r>
    <n v="180"/>
    <n v="519"/>
    <s v="Luggage"/>
    <s v="Domestic"/>
    <s v="Regular"/>
    <n v="588"/>
    <n v="1182"/>
    <s v="POWELL ST / GEARY ST"/>
    <s v="3RD ST / PALOU AV"/>
    <s v="NOT DELIVERED"/>
    <d v="1975-04-01T00:00:00"/>
    <m/>
    <n v="0.4975"/>
    <s v=""/>
    <x v="0"/>
  </r>
  <r>
    <n v="214"/>
    <n v="4060"/>
    <s v="Food and Beverages"/>
    <s v="International"/>
    <s v="Regular"/>
    <n v="442"/>
    <n v="713"/>
    <s v="2500 Block of MISSION ST"/>
    <s v="2600 Block of 34TH AV"/>
    <s v="DELIVERED"/>
    <d v="1987-03-06T00:00:00"/>
    <d v="1987-08-09T00:00:00"/>
    <n v="0.61990000000000001"/>
    <n v="156"/>
    <x v="0"/>
  </r>
  <r>
    <n v="408"/>
    <n v="8860"/>
    <s v="Hazardous Goods"/>
    <s v="Domestic"/>
    <s v="Express"/>
    <n v="216"/>
    <n v="939"/>
    <s v="600 Block of VALENCIA ST"/>
    <s v="500 Block of 9TH ST"/>
    <s v="DELIVERED"/>
    <d v="1990-02-21T00:00:00"/>
    <d v="1990-09-11T00:00:00"/>
    <n v="0.23"/>
    <n v="202"/>
    <x v="0"/>
  </r>
  <r>
    <n v="902"/>
    <n v="7164"/>
    <s v="Construction"/>
    <s v="Domestic"/>
    <s v="Express"/>
    <n v="946"/>
    <n v="1082"/>
    <s v="300 Block of OFARRELL ST"/>
    <s v="0 Block of RAE AV"/>
    <s v="DELIVERED"/>
    <d v="1989-01-06T00:00:00"/>
    <d v="1989-09-17T00:00:00"/>
    <n v="0.87429999999999997"/>
    <n v="254"/>
    <x v="0"/>
  </r>
  <r>
    <n v="763"/>
    <n v="9792"/>
    <s v="Luggage"/>
    <s v="International"/>
    <s v="Express"/>
    <n v="796"/>
    <n v="1347"/>
    <s v="1700 Block of FULTON ST"/>
    <s v="100 Block of GOLDEN GATE AV"/>
    <s v="DELIVERED"/>
    <d v="2014-06-29T00:00:00"/>
    <d v="2014-09-09T00:00:00"/>
    <n v="0.59089999999999998"/>
    <n v="72"/>
    <x v="0"/>
  </r>
  <r>
    <n v="168"/>
    <n v="9934"/>
    <s v="Arts and crafts"/>
    <s v="Domestic"/>
    <s v="Regular"/>
    <n v="26"/>
    <n v="47"/>
    <s v="DIVISADERO ST / JACKSON ST"/>
    <s v="0 Block of DESOTO ST"/>
    <s v="DELIVERED"/>
    <d v="1997-01-05T00:00:00"/>
    <d v="1997-06-12T00:00:00"/>
    <n v="0.55320000000000003"/>
    <n v="158"/>
    <x v="0"/>
  </r>
  <r>
    <n v="723"/>
    <n v="1980"/>
    <s v="Automotive"/>
    <s v="Domestic"/>
    <s v="Express"/>
    <n v="490"/>
    <n v="762"/>
    <s v="SILLIMAN ST / BOWDOIN ST"/>
    <s v="200 Block of LEAVENWORTH ST"/>
    <s v="NOT DELIVERED"/>
    <d v="1981-07-23T00:00:00"/>
    <m/>
    <n v="0.64300000000000002"/>
    <s v=""/>
    <x v="0"/>
  </r>
  <r>
    <n v="438"/>
    <n v="9251"/>
    <s v="Home Furnishing"/>
    <s v="Domestic"/>
    <s v="Regular"/>
    <n v="430"/>
    <n v="642"/>
    <s v="2300 Block of CHESTNUT ST"/>
    <s v="LAKE MERCED BL / SUNSET BL"/>
    <s v="DELIVERED"/>
    <d v="1977-03-26T00:00:00"/>
    <d v="1977-03-30T00:00:00"/>
    <n v="0.66979999999999995"/>
    <n v="4"/>
    <x v="3"/>
  </r>
  <r>
    <n v="162"/>
    <n v="6717"/>
    <s v="Arts and crafts"/>
    <s v="Domestic"/>
    <s v="Express"/>
    <n v="209"/>
    <n v="665"/>
    <s v="500 Block of VALENCIA ST"/>
    <s v="6TH ST / STEVENSON ST"/>
    <s v="DELIVERED"/>
    <d v="1982-06-10T00:00:00"/>
    <d v="1982-10-29T00:00:00"/>
    <n v="0.31430000000000002"/>
    <n v="141"/>
    <x v="0"/>
  </r>
  <r>
    <n v="246"/>
    <n v="3622"/>
    <s v="Automotive"/>
    <s v="International"/>
    <s v="Express"/>
    <n v="379"/>
    <n v="963"/>
    <s v="800 Block of 47TH AV"/>
    <s v="0 Block of LURLINE ST"/>
    <s v="DELIVERED"/>
    <d v="2019-03-03T00:00:00"/>
    <d v="2019-03-01T00:00:00"/>
    <n v="0.39360000000000001"/>
    <n v="-2"/>
    <x v="2"/>
  </r>
  <r>
    <n v="105"/>
    <n v="8808"/>
    <s v="Industrial Equipments"/>
    <s v="Domestic"/>
    <s v="Regular"/>
    <n v="949"/>
    <n v="1419"/>
    <s v="KEITH ST / THOMAS AV"/>
    <s v="100 Block of CAPP ST"/>
    <s v="NOT DELIVERED"/>
    <d v="1997-08-27T00:00:00"/>
    <m/>
    <n v="0.66879999999999995"/>
    <s v=""/>
    <x v="0"/>
  </r>
  <r>
    <n v="308"/>
    <n v="4920"/>
    <s v="Electronics"/>
    <s v="Domestic"/>
    <s v="Express"/>
    <n v="438"/>
    <n v="656"/>
    <s v="LYON ST / OFARRELL ST"/>
    <s v="1200 Block of NOE ST"/>
    <s v="NOT DELIVERED"/>
    <d v="1979-01-28T00:00:00"/>
    <m/>
    <n v="0.66769999999999996"/>
    <s v=""/>
    <x v="0"/>
  </r>
  <r>
    <n v="172"/>
    <n v="3140"/>
    <s v="Food and Beverages"/>
    <s v="International"/>
    <s v="Express"/>
    <n v="726"/>
    <n v="1381"/>
    <s v="0 Block of HARRISON ST"/>
    <s v="1200 Block of GOLDEN GATE AV"/>
    <s v="DELIVERED"/>
    <d v="2004-10-29T00:00:00"/>
    <d v="2004-10-26T00:00:00"/>
    <n v="0.52569999999999995"/>
    <n v="-3"/>
    <x v="2"/>
  </r>
  <r>
    <n v="775"/>
    <n v="8104"/>
    <s v="Home Furnishing"/>
    <s v="Domestic"/>
    <s v="Express"/>
    <n v="451"/>
    <n v="713"/>
    <s v="0 Block of 6TH ST"/>
    <s v="1400 Block of RANKIN ST"/>
    <s v="NOT DELIVERED"/>
    <d v="2004-09-28T00:00:00"/>
    <m/>
    <n v="0.63249999999999995"/>
    <s v=""/>
    <x v="0"/>
  </r>
  <r>
    <n v="333"/>
    <n v="2208"/>
    <s v="Luggage"/>
    <s v="Domestic"/>
    <s v="Regular"/>
    <n v="812"/>
    <n v="1104"/>
    <s v="1800 Block of DONNER AV"/>
    <s v="19TH AV / LINCOLN WY"/>
    <s v="DELIVERED"/>
    <d v="2013-01-12T00:00:00"/>
    <d v="2013-08-11T00:00:00"/>
    <n v="0.73550000000000004"/>
    <n v="211"/>
    <x v="0"/>
  </r>
  <r>
    <n v="548"/>
    <n v="7043"/>
    <s v="Healthcare"/>
    <s v="International"/>
    <s v="Regular"/>
    <n v="240"/>
    <n v="571"/>
    <s v="800 Block of INGERSON AV"/>
    <s v="MISSION ST / 2ND ST"/>
    <s v="NOT DELIVERED"/>
    <d v="2012-06-17T00:00:00"/>
    <m/>
    <n v="0.42030000000000001"/>
    <s v=""/>
    <x v="0"/>
  </r>
  <r>
    <n v="665"/>
    <n v="7485"/>
    <s v="Arts and crafts"/>
    <s v="Domestic"/>
    <s v="Regular"/>
    <n v="982"/>
    <n v="1405"/>
    <s v="1300 Block of REVERE AV"/>
    <s v="0 Block of WILLIAR AV"/>
    <s v="DELIVERED"/>
    <d v="2010-01-12T00:00:00"/>
    <d v="2010-04-27T00:00:00"/>
    <n v="0.69889999999999997"/>
    <n v="105"/>
    <x v="0"/>
  </r>
  <r>
    <n v="305"/>
    <n v="1748"/>
    <s v="Automotive"/>
    <s v="Domestic"/>
    <s v="Express"/>
    <n v="954"/>
    <n v="1473"/>
    <s v="0 Block of DORE ST"/>
    <s v="100 Block of TURK ST"/>
    <s v="DELIVERED"/>
    <d v="1992-08-11T00:00:00"/>
    <d v="1992-11-01T00:00:00"/>
    <n v="0.64770000000000005"/>
    <n v="82"/>
    <x v="0"/>
  </r>
  <r>
    <n v="938"/>
    <n v="9968"/>
    <s v="Hazardous Goods"/>
    <s v="Domestic"/>
    <s v="Regular"/>
    <n v="35"/>
    <n v="20"/>
    <s v="1200 Block of THE EMBARCADERONORTH ST"/>
    <s v="500 Block of BRANNAN ST"/>
    <s v="NOT DELIVERED"/>
    <d v="2018-12-21T00:00:00"/>
    <m/>
    <n v="1.75"/>
    <s v=""/>
    <x v="0"/>
  </r>
  <r>
    <n v="714"/>
    <n v="5330"/>
    <s v="Electronics"/>
    <s v="Domestic"/>
    <s v="Express"/>
    <n v="148"/>
    <n v="835"/>
    <s v="PIERCE ST / LOMBARD ST"/>
    <s v="8TH AV / CLEMENT ST"/>
    <s v="DELIVERED"/>
    <d v="2011-04-22T00:00:00"/>
    <d v="2011-06-08T00:00:00"/>
    <n v="0.1772"/>
    <n v="47"/>
    <x v="0"/>
  </r>
  <r>
    <n v="251"/>
    <n v="2183"/>
    <s v="Food and Beverages"/>
    <s v="International"/>
    <s v="Regular"/>
    <n v="422"/>
    <n v="651"/>
    <s v="1700 Block of NEWCOMB AV"/>
    <s v="1500 Block of LASALLE AV"/>
    <s v="DELIVERED"/>
    <d v="2003-10-25T00:00:00"/>
    <d v="2003-12-02T00:00:00"/>
    <n v="0.6482"/>
    <n v="38"/>
    <x v="0"/>
  </r>
  <r>
    <n v="330"/>
    <n v="2182"/>
    <s v="Home Furnishing"/>
    <s v="Domestic"/>
    <s v="Express"/>
    <n v="275"/>
    <n v="653"/>
    <s v="2300 Block of 25TH AV"/>
    <s v="HOLLYPARK CR / MURRAY ST"/>
    <s v="NOT DELIVERED"/>
    <d v="2012-02-08T00:00:00"/>
    <m/>
    <n v="0.42109999999999997"/>
    <s v=""/>
    <x v="0"/>
  </r>
  <r>
    <n v="69"/>
    <n v="1087"/>
    <s v="Healthcare"/>
    <s v="Domestic"/>
    <s v="Regular"/>
    <n v="367"/>
    <n v="740"/>
    <s v="2000 Block of MISSION ST"/>
    <s v="2400 Block of SAN BRUNO AV"/>
    <s v="DELIVERED"/>
    <d v="2018-03-14T00:00:00"/>
    <d v="2018-08-30T00:00:00"/>
    <n v="0.49590000000000001"/>
    <n v="169"/>
    <x v="0"/>
  </r>
  <r>
    <n v="969"/>
    <n v="4296"/>
    <s v="Industrial Equipments"/>
    <s v="International"/>
    <s v="Express"/>
    <n v="507"/>
    <n v="1334"/>
    <s v="1100 Block of CONNECTICUT ST"/>
    <s v="1700 Block of 22ND AV"/>
    <s v="DELIVERED"/>
    <d v="2013-03-19T00:00:00"/>
    <d v="2013-03-09T00:00:00"/>
    <n v="0.38009999999999999"/>
    <n v="-10"/>
    <x v="2"/>
  </r>
  <r>
    <n v="974"/>
    <n v="9784"/>
    <s v="Automotive"/>
    <s v="International"/>
    <s v="Regular"/>
    <n v="442"/>
    <n v="770"/>
    <s v="1000 Block of POTRERO AV"/>
    <s v="0 Block of LEAVENWORTH ST"/>
    <s v="DELIVERED"/>
    <d v="2013-04-23T00:00:00"/>
    <d v="2013-06-21T00:00:00"/>
    <n v="0.57399999999999995"/>
    <n v="59"/>
    <x v="0"/>
  </r>
  <r>
    <n v="526"/>
    <n v="6210"/>
    <s v="Arts and crafts"/>
    <s v="International"/>
    <s v="Regular"/>
    <n v="510"/>
    <n v="1205"/>
    <s v="500 Block of 41ST AV"/>
    <s v="500 Block of GUERRERO ST"/>
    <s v="DELIVERED"/>
    <d v="1991-02-10T00:00:00"/>
    <d v="1991-07-03T00:00:00"/>
    <n v="0.42320000000000002"/>
    <n v="143"/>
    <x v="0"/>
  </r>
  <r>
    <n v="510"/>
    <n v="5781"/>
    <s v="Fashion"/>
    <s v="International"/>
    <s v="Regular"/>
    <n v="117"/>
    <n v="716"/>
    <s v="700 Block of MARKET ST"/>
    <s v="ELLIS ST / HYDE ST"/>
    <s v="NOT DELIVERED"/>
    <d v="1976-10-04T00:00:00"/>
    <m/>
    <n v="0.16339999999999999"/>
    <s v=""/>
    <x v="0"/>
  </r>
  <r>
    <n v="444"/>
    <n v="8306"/>
    <s v="Construction"/>
    <s v="Domestic"/>
    <s v="Express"/>
    <n v="973"/>
    <n v="1250"/>
    <s v="0 Block of CASTLEMANOR AV"/>
    <s v="LANE ST / REVERE AV"/>
    <s v="NOT DELIVERED"/>
    <d v="1987-10-25T00:00:00"/>
    <m/>
    <n v="0.77839999999999998"/>
    <s v=""/>
    <x v="0"/>
  </r>
  <r>
    <n v="503"/>
    <n v="3270"/>
    <s v="Food and Beverages"/>
    <s v="Domestic"/>
    <s v="Regular"/>
    <n v="243"/>
    <n v="935"/>
    <s v="GEARY ST / HYDE ST"/>
    <s v="1200 Block of MARKET ST"/>
    <s v="DELIVERED"/>
    <d v="1974-03-26T00:00:00"/>
    <d v="1974-05-25T00:00:00"/>
    <n v="0.25990000000000002"/>
    <n v="60"/>
    <x v="0"/>
  </r>
  <r>
    <n v="109"/>
    <n v="6787"/>
    <s v="Luggage"/>
    <s v="Domestic"/>
    <s v="Express"/>
    <n v="715"/>
    <n v="1185"/>
    <s v="2000 Block of MISSION ST"/>
    <s v="500 Block of 39TH AV"/>
    <s v="NOT DELIVERED"/>
    <d v="2014-05-18T00:00:00"/>
    <m/>
    <n v="0.60340000000000005"/>
    <s v=""/>
    <x v="0"/>
  </r>
  <r>
    <n v="823"/>
    <n v="3733"/>
    <s v="Healthcare"/>
    <s v="Domestic"/>
    <s v="Express"/>
    <n v="571"/>
    <n v="1031"/>
    <s v="700 Block of STANYAN ST"/>
    <s v="600 Block of MISSION ST"/>
    <s v="DELIVERED"/>
    <d v="1975-05-18T00:00:00"/>
    <d v="1975-05-20T00:00:00"/>
    <n v="0.55379999999999996"/>
    <n v="2"/>
    <x v="3"/>
  </r>
  <r>
    <n v="147"/>
    <n v="207"/>
    <s v="Industrial Equipments"/>
    <s v="Domestic"/>
    <s v="Express"/>
    <n v="369"/>
    <n v="646"/>
    <s v="300 Block of ATHENS ST"/>
    <s v="1400 Block of CLAY ST"/>
    <s v="DELIVERED"/>
    <d v="2005-03-20T00:00:00"/>
    <d v="2005-09-15T00:00:00"/>
    <n v="0.57120000000000004"/>
    <n v="179"/>
    <x v="0"/>
  </r>
  <r>
    <n v="625"/>
    <n v="3"/>
    <s v="Industrial Equipments"/>
    <s v="International"/>
    <s v="Regular"/>
    <n v="318"/>
    <n v="980"/>
    <s v="5600 Block of DIAMONDHEIGHTS BL"/>
    <s v="100 Block of ELLIOT ST"/>
    <s v="NOT DELIVERED"/>
    <d v="2018-10-03T00:00:00"/>
    <m/>
    <n v="0.32450000000000001"/>
    <s v=""/>
    <x v="0"/>
  </r>
  <r>
    <n v="695"/>
    <n v="1896"/>
    <s v="Food and Beverages"/>
    <s v="Domestic"/>
    <s v="Regular"/>
    <n v="266"/>
    <n v="833"/>
    <s v="2000 Block of MISSION ST"/>
    <s v="4600 Block of IRVING ST"/>
    <s v="NOT DELIVERED"/>
    <d v="2013-09-25T00:00:00"/>
    <m/>
    <n v="0.31929999999999997"/>
    <s v=""/>
    <x v="0"/>
  </r>
  <r>
    <n v="983"/>
    <n v="9631"/>
    <s v="Home Furnishing"/>
    <s v="International"/>
    <s v="Regular"/>
    <n v="60"/>
    <n v="166"/>
    <s v="200 Block of TURK ST"/>
    <s v="0 Block of ANKENY ST"/>
    <s v="NOT DELIVERED"/>
    <d v="1993-07-09T00:00:00"/>
    <m/>
    <n v="0.3614"/>
    <s v=""/>
    <x v="0"/>
  </r>
  <r>
    <n v="82"/>
    <n v="3132"/>
    <s v="Luggage"/>
    <s v="International"/>
    <s v="Express"/>
    <n v="121"/>
    <n v="557"/>
    <s v="NATOMA ST / 2ND ST"/>
    <s v="3500 Block of MISSION ST"/>
    <s v="NOT DELIVERED"/>
    <d v="1997-05-29T00:00:00"/>
    <m/>
    <n v="0.2172"/>
    <s v=""/>
    <x v="0"/>
  </r>
  <r>
    <n v="397"/>
    <n v="1202"/>
    <s v="Automotive"/>
    <s v="International"/>
    <s v="Express"/>
    <n v="876"/>
    <n v="1045"/>
    <s v="1600 Block of DONNER AV"/>
    <s v="800 Block of LARKIN ST"/>
    <s v="NOT DELIVERED"/>
    <d v="2004-02-29T00:00:00"/>
    <m/>
    <n v="0.83830000000000005"/>
    <s v=""/>
    <x v="0"/>
  </r>
  <r>
    <n v="599"/>
    <n v="8834"/>
    <s v="Industrial Equipments"/>
    <s v="Domestic"/>
    <s v="Regular"/>
    <n v="946"/>
    <n v="1100"/>
    <s v="400 Block of ELLIS ST"/>
    <s v="800 Block of MOSCOW ST"/>
    <s v="NOT DELIVERED"/>
    <d v="2001-08-31T00:00:00"/>
    <m/>
    <n v="0.86"/>
    <s v=""/>
    <x v="0"/>
  </r>
  <r>
    <n v="306"/>
    <n v="1201"/>
    <s v="Hazardous Goods"/>
    <s v="Domestic"/>
    <s v="Regular"/>
    <n v="654"/>
    <n v="1150"/>
    <s v="100 Block of LEAVENWORTH ST"/>
    <s v="100 Block of PERSIA AV"/>
    <s v="DELIVERED"/>
    <d v="1983-01-28T00:00:00"/>
    <d v="1983-07-22T00:00:00"/>
    <n v="0.56869999999999998"/>
    <n v="175"/>
    <x v="0"/>
  </r>
  <r>
    <n v="536"/>
    <n v="2573"/>
    <s v="Construction"/>
    <s v="Domestic"/>
    <s v="Express"/>
    <n v="74"/>
    <n v="281"/>
    <s v="100 Block of POWELL ST"/>
    <s v="0 Block of TAYLOR ST"/>
    <s v="DELIVERED"/>
    <d v="2016-09-23T00:00:00"/>
    <d v="2016-09-21T00:00:00"/>
    <n v="0.26329999999999998"/>
    <n v="-2"/>
    <x v="2"/>
  </r>
  <r>
    <n v="20"/>
    <n v="6759"/>
    <s v="Construction"/>
    <s v="Domestic"/>
    <s v="Regular"/>
    <n v="630"/>
    <n v="1062"/>
    <s v="1600 Block of 39TH AV"/>
    <s v="PARNASSUS AV / CLAYTON ST"/>
    <s v="NOT DELIVERED"/>
    <d v="2017-09-29T00:00:00"/>
    <m/>
    <n v="0.59319999999999995"/>
    <s v=""/>
    <x v="0"/>
  </r>
  <r>
    <n v="515"/>
    <n v="2601"/>
    <s v="Healthcare"/>
    <s v="Domestic"/>
    <s v="Express"/>
    <n v="782"/>
    <n v="1425"/>
    <s v="MARKET ST / CHURCH ST"/>
    <s v="LOMBARD ST / LEAVENWORTH ST"/>
    <s v="NOT DELIVERED"/>
    <d v="1996-01-01T00:00:00"/>
    <m/>
    <n v="0.54879999999999995"/>
    <s v=""/>
    <x v="0"/>
  </r>
  <r>
    <n v="332"/>
    <n v="2656"/>
    <s v="Luggage"/>
    <s v="International"/>
    <s v="Regular"/>
    <n v="45"/>
    <n v="39"/>
    <s v="100 Block of UPPER TR"/>
    <s v="POST ST / HYDE ST"/>
    <s v="NOT DELIVERED"/>
    <d v="2008-09-14T00:00:00"/>
    <m/>
    <n v="1.1537999999999999"/>
    <s v=""/>
    <x v="0"/>
  </r>
  <r>
    <n v="127"/>
    <n v="9645"/>
    <s v="Luggage"/>
    <s v="International"/>
    <s v="Express"/>
    <n v="916"/>
    <n v="1143"/>
    <s v="300 Block of SALINAS AV"/>
    <s v="1900 Block of FILLMORE ST"/>
    <s v="DELIVERED"/>
    <d v="2006-01-08T00:00:00"/>
    <d v="2006-01-09T00:00:00"/>
    <n v="0.8014"/>
    <n v="1"/>
    <x v="3"/>
  </r>
  <r>
    <n v="958"/>
    <n v="584"/>
    <s v="Hazardous Goods"/>
    <s v="International"/>
    <s v="Express"/>
    <n v="274"/>
    <n v="669"/>
    <s v="0 Block of GOLDEN GATE AV"/>
    <s v="900 Block of MARIPOSA ST"/>
    <s v="NOT DELIVERED"/>
    <d v="2016-02-24T00:00:00"/>
    <m/>
    <n v="0.40960000000000002"/>
    <s v=""/>
    <x v="0"/>
  </r>
  <r>
    <n v="42"/>
    <n v="2121"/>
    <s v="Arts and crafts"/>
    <s v="Domestic"/>
    <s v="Regular"/>
    <n v="987"/>
    <n v="1134"/>
    <s v="MINNA ST / 5TH ST"/>
    <s v="MARKET ST / 5TH ST"/>
    <s v="DELIVERED"/>
    <d v="1979-01-20T00:00:00"/>
    <d v="1979-09-12T00:00:00"/>
    <n v="0.87039999999999995"/>
    <n v="235"/>
    <x v="0"/>
  </r>
  <r>
    <n v="977"/>
    <n v="2142"/>
    <s v="Arts and crafts"/>
    <s v="International"/>
    <s v="Regular"/>
    <n v="434"/>
    <n v="558"/>
    <s v="200 Block of MISSOURI ST"/>
    <s v="900 Block of ELLSWORTH ST"/>
    <s v="DELIVERED"/>
    <d v="2002-02-03T00:00:00"/>
    <d v="2002-10-20T00:00:00"/>
    <n v="0.77780000000000005"/>
    <n v="259"/>
    <x v="0"/>
  </r>
  <r>
    <n v="460"/>
    <n v="2396"/>
    <s v="Electronics"/>
    <s v="International"/>
    <s v="Express"/>
    <n v="897"/>
    <n v="1313"/>
    <s v="100 Block of EDDY ST"/>
    <s v="1400 Block of KIRKWOOD CT"/>
    <s v="DELIVERED"/>
    <d v="2005-04-16T00:00:00"/>
    <d v="2005-09-15T00:00:00"/>
    <n v="0.68320000000000003"/>
    <n v="152"/>
    <x v="0"/>
  </r>
  <r>
    <n v="659"/>
    <n v="8747"/>
    <s v="Automotive"/>
    <s v="International"/>
    <s v="Regular"/>
    <n v="442"/>
    <n v="595"/>
    <s v="0 Block of UNITEDNATIONS PZ"/>
    <s v="200 Block of HAHN ST"/>
    <s v="DELIVERED"/>
    <d v="1998-02-21T00:00:00"/>
    <d v="1998-09-11T00:00:00"/>
    <n v="0.7429"/>
    <n v="202"/>
    <x v="0"/>
  </r>
  <r>
    <n v="197"/>
    <n v="4142"/>
    <s v="Food and Beverages"/>
    <s v="Domestic"/>
    <s v="Express"/>
    <n v="98"/>
    <n v="360"/>
    <s v="300 Block of BUCHANAN ST"/>
    <s v="2800 Block of BRYANT ST"/>
    <s v="DELIVERED"/>
    <d v="1989-03-29T00:00:00"/>
    <d v="1989-08-23T00:00:00"/>
    <n v="0.2722"/>
    <n v="147"/>
    <x v="0"/>
  </r>
  <r>
    <n v="540"/>
    <n v="9770"/>
    <s v="Luggage"/>
    <s v="International"/>
    <s v="Express"/>
    <n v="431"/>
    <n v="934"/>
    <s v="4000 Block of GEARY BL"/>
    <s v="1000 Block of POTRERO AV"/>
    <s v="DELIVERED"/>
    <d v="1977-04-21T00:00:00"/>
    <d v="1977-11-08T00:00:00"/>
    <n v="0.46150000000000002"/>
    <n v="201"/>
    <x v="0"/>
  </r>
  <r>
    <n v="178"/>
    <n v="2593"/>
    <s v="Construction"/>
    <s v="International"/>
    <s v="Express"/>
    <n v="745"/>
    <n v="1383"/>
    <s v="3100 Block of 23RD ST"/>
    <s v="GEARY ST / POWELL ST"/>
    <s v="DELIVERED"/>
    <d v="2009-01-01T00:00:00"/>
    <d v="2009-01-26T00:00:00"/>
    <n v="0.53869999999999996"/>
    <n v="25"/>
    <x v="1"/>
  </r>
  <r>
    <n v="202"/>
    <n v="9807"/>
    <s v="Home Furnishing"/>
    <s v="International"/>
    <s v="Express"/>
    <n v="871"/>
    <n v="1274"/>
    <s v="200 Block of HAHN ST"/>
    <s v="600 Block of VALENCIA ST"/>
    <s v="DELIVERED"/>
    <d v="2001-01-27T00:00:00"/>
    <d v="2001-08-03T00:00:00"/>
    <n v="0.68369999999999997"/>
    <n v="188"/>
    <x v="0"/>
  </r>
  <r>
    <n v="632"/>
    <n v="2525"/>
    <s v="Industrial Equipments"/>
    <s v="Domestic"/>
    <s v="Regular"/>
    <n v="67"/>
    <n v="193"/>
    <s v="CAPP ST / 17TH ST"/>
    <s v="ALEMANY BL / ELLSWORTH ST"/>
    <s v="DELIVERED"/>
    <d v="1992-08-26T00:00:00"/>
    <d v="1992-12-25T00:00:00"/>
    <n v="0.34720000000000001"/>
    <n v="121"/>
    <x v="0"/>
  </r>
  <r>
    <n v="25"/>
    <n v="1724"/>
    <s v="Home Furnishing"/>
    <s v="Domestic"/>
    <s v="Express"/>
    <n v="431"/>
    <n v="702"/>
    <s v="4TH ST / HARRISON ST"/>
    <s v="600 Block of CLAY ST"/>
    <s v="DELIVERED"/>
    <d v="2004-05-29T00:00:00"/>
    <d v="2004-05-17T00:00:00"/>
    <n v="0.61399999999999999"/>
    <n v="-12"/>
    <x v="2"/>
  </r>
  <r>
    <n v="990"/>
    <n v="7146"/>
    <s v="Construction"/>
    <s v="International"/>
    <s v="Regular"/>
    <n v="178"/>
    <n v="646"/>
    <s v="700 Block of BATTERY ST"/>
    <s v="0 Block of MARINA BL"/>
    <s v="DELIVERED"/>
    <d v="2003-05-18T00:00:00"/>
    <d v="2003-11-28T00:00:00"/>
    <n v="0.27550000000000002"/>
    <n v="194"/>
    <x v="0"/>
  </r>
  <r>
    <n v="913"/>
    <n v="563"/>
    <s v="Home Furnishing"/>
    <s v="Domestic"/>
    <s v="Express"/>
    <n v="180"/>
    <n v="755"/>
    <s v="5TH ST / MARKET ST"/>
    <s v="MONTGOMERY ST / VALLEJO ST"/>
    <s v="NOT DELIVERED"/>
    <d v="1974-05-08T00:00:00"/>
    <m/>
    <n v="0.2384"/>
    <s v=""/>
    <x v="0"/>
  </r>
  <r>
    <n v="371"/>
    <n v="7771"/>
    <s v="Arts and crafts"/>
    <s v="Domestic"/>
    <s v="Express"/>
    <n v="280"/>
    <n v="990"/>
    <s v="2400 Block of MISSION ST"/>
    <s v="BEACH ST / TAYLOR ST"/>
    <s v="NOT DELIVERED"/>
    <d v="1975-07-03T00:00:00"/>
    <m/>
    <n v="0.2828"/>
    <s v=""/>
    <x v="0"/>
  </r>
  <r>
    <n v="514"/>
    <n v="4789"/>
    <s v="Hazardous Goods"/>
    <s v="Domestic"/>
    <s v="Express"/>
    <n v="263"/>
    <n v="965"/>
    <s v="TARAVAL ST / 17TH AV"/>
    <s v="EDDY ST / MASON ST"/>
    <s v="NOT DELIVERED"/>
    <d v="1982-05-18T00:00:00"/>
    <m/>
    <n v="0.27250000000000002"/>
    <s v=""/>
    <x v="0"/>
  </r>
  <r>
    <n v="707"/>
    <n v="3221"/>
    <s v="Automotive"/>
    <s v="Domestic"/>
    <s v="Regular"/>
    <n v="187"/>
    <n v="931"/>
    <s v="19TH ST / SHOTWELL ST"/>
    <s v="7TH ST / STEVENSON ST"/>
    <s v="NOT DELIVERED"/>
    <d v="2007-06-19T00:00:00"/>
    <m/>
    <n v="0.2009"/>
    <s v=""/>
    <x v="0"/>
  </r>
  <r>
    <n v="473"/>
    <n v="5197"/>
    <s v="Arts and crafts"/>
    <s v="International"/>
    <s v="Regular"/>
    <n v="94"/>
    <n v="361"/>
    <s v="2300 Block of 14TH AV"/>
    <s v="0 Block of 12TH ST"/>
    <s v="DELIVERED"/>
    <d v="2012-01-25T00:00:00"/>
    <d v="2012-01-17T00:00:00"/>
    <n v="0.26040000000000002"/>
    <n v="-8"/>
    <x v="2"/>
  </r>
  <r>
    <n v="847"/>
    <n v="8183"/>
    <s v="Fashion"/>
    <s v="International"/>
    <s v="Express"/>
    <n v="906"/>
    <n v="1297"/>
    <s v="2100 Block of MISSION ST"/>
    <s v="1100 Block of FOLSOM ST"/>
    <s v="NOT DELIVERED"/>
    <d v="1983-04-17T00:00:00"/>
    <m/>
    <n v="0.69850000000000001"/>
    <s v=""/>
    <x v="0"/>
  </r>
  <r>
    <n v="815"/>
    <n v="1126"/>
    <s v="Healthcare"/>
    <s v="International"/>
    <s v="Regular"/>
    <n v="71"/>
    <n v="130"/>
    <s v="1400 Block of VANDYKE AV"/>
    <s v="EDDY ST / VANNESS AV"/>
    <s v="DELIVERED"/>
    <d v="2010-01-30T00:00:00"/>
    <d v="2010-03-02T00:00:00"/>
    <n v="0.54620000000000002"/>
    <n v="31"/>
    <x v="0"/>
  </r>
  <r>
    <n v="928"/>
    <n v="4899"/>
    <s v="Hazardous Goods"/>
    <s v="International"/>
    <s v="Express"/>
    <n v="253"/>
    <n v="904"/>
    <s v="800 Block of MARKET ST"/>
    <s v="800 Block of MARKET ST"/>
    <s v="NOT DELIVERED"/>
    <d v="1973-09-05T00:00:00"/>
    <m/>
    <n v="0.27989999999999998"/>
    <s v=""/>
    <x v="0"/>
  </r>
  <r>
    <n v="210"/>
    <n v="4732"/>
    <s v="Home Furnishing"/>
    <s v="International"/>
    <s v="Express"/>
    <n v="591"/>
    <n v="1433"/>
    <s v="300 Block of COLLINGWOOD ST"/>
    <s v="900 Block of MARKET ST"/>
    <s v="NOT DELIVERED"/>
    <d v="2005-10-23T00:00:00"/>
    <m/>
    <n v="0.41239999999999999"/>
    <s v=""/>
    <x v="0"/>
  </r>
  <r>
    <n v="793"/>
    <n v="4103"/>
    <s v="Automotive"/>
    <s v="Domestic"/>
    <s v="Regular"/>
    <n v="399"/>
    <n v="835"/>
    <s v="400 Block of ELLIS ST"/>
    <s v="17TH ST / SHOTWELL ST"/>
    <s v="NOT DELIVERED"/>
    <d v="1996-07-06T00:00:00"/>
    <m/>
    <n v="0.4778"/>
    <s v=""/>
    <x v="0"/>
  </r>
  <r>
    <n v="872"/>
    <n v="7861"/>
    <s v="Automotive"/>
    <s v="International"/>
    <s v="Express"/>
    <n v="91"/>
    <n v="242"/>
    <s v="21ST ST / POTRERO AV"/>
    <s v="400 Block of GENEVA AV"/>
    <s v="DELIVERED"/>
    <d v="2008-05-21T00:00:00"/>
    <d v="2008-05-17T00:00:00"/>
    <n v="0.376"/>
    <n v="-4"/>
    <x v="2"/>
  </r>
  <r>
    <n v="298"/>
    <n v="7764"/>
    <s v="Hazardous Goods"/>
    <s v="International"/>
    <s v="Regular"/>
    <n v="717"/>
    <n v="1297"/>
    <s v="200 Block of 11TH AV"/>
    <s v="400 Block of TURK ST"/>
    <s v="NOT DELIVERED"/>
    <d v="1979-05-13T00:00:00"/>
    <m/>
    <n v="0.55279999999999996"/>
    <s v=""/>
    <x v="0"/>
  </r>
  <r>
    <n v="941"/>
    <n v="5345"/>
    <s v="Food and Beverages"/>
    <s v="International"/>
    <s v="Regular"/>
    <n v="735"/>
    <n v="1181"/>
    <s v="17TH ST / FOLSOM ST"/>
    <s v="400 Block of BRIGHT ST"/>
    <s v="DELIVERED"/>
    <d v="2010-07-01T00:00:00"/>
    <d v="2010-08-28T00:00:00"/>
    <n v="0.62239999999999995"/>
    <n v="58"/>
    <x v="0"/>
  </r>
  <r>
    <n v="731"/>
    <n v="6191"/>
    <s v="Hazardous Goods"/>
    <s v="Domestic"/>
    <s v="Express"/>
    <n v="970"/>
    <n v="1242"/>
    <s v="KEITH ST / SHAFTER AV"/>
    <s v="0 Block of SPOFFORD LN"/>
    <s v="NOT DELIVERED"/>
    <d v="1983-07-05T00:00:00"/>
    <m/>
    <n v="0.78100000000000003"/>
    <s v=""/>
    <x v="0"/>
  </r>
  <r>
    <n v="500"/>
    <n v="310"/>
    <s v="Arts and crafts"/>
    <s v="Domestic"/>
    <s v="Regular"/>
    <n v="80"/>
    <n v="236"/>
    <s v="900 Block of LARKIN ST"/>
    <s v="900 Block of STOCKTON ST"/>
    <s v="NOT DELIVERED"/>
    <d v="1980-07-05T00:00:00"/>
    <m/>
    <n v="0.33900000000000002"/>
    <s v=""/>
    <x v="0"/>
  </r>
  <r>
    <n v="142"/>
    <n v="3095"/>
    <s v="Arts and crafts"/>
    <s v="Domestic"/>
    <s v="Express"/>
    <n v="550"/>
    <n v="1171"/>
    <s v="400 Block of TURK ST"/>
    <s v="MADRID ST / RUSSIA AV"/>
    <s v="NOT DELIVERED"/>
    <d v="1983-08-21T00:00:00"/>
    <m/>
    <n v="0.46970000000000001"/>
    <s v=""/>
    <x v="0"/>
  </r>
  <r>
    <n v="787"/>
    <n v="2159"/>
    <s v="Arts and crafts"/>
    <s v="International"/>
    <s v="Express"/>
    <n v="187"/>
    <n v="864"/>
    <s v="0 Block of OFARRELL ST"/>
    <s v="200 Block of TURK ST"/>
    <s v="DELIVERED"/>
    <d v="2011-03-28T00:00:00"/>
    <d v="2011-06-25T00:00:00"/>
    <n v="0.21640000000000001"/>
    <n v="89"/>
    <x v="0"/>
  </r>
  <r>
    <n v="749"/>
    <n v="3569"/>
    <s v="Automotive"/>
    <s v="International"/>
    <s v="Express"/>
    <n v="262"/>
    <n v="875"/>
    <s v="0 Block of PAYSON ST"/>
    <s v="0 Block of POWELL ST"/>
    <s v="DELIVERED"/>
    <d v="2014-04-30T00:00:00"/>
    <d v="2014-07-02T00:00:00"/>
    <n v="0.2994"/>
    <n v="63"/>
    <x v="0"/>
  </r>
  <r>
    <n v="304"/>
    <n v="5958"/>
    <s v="Food and Beverages"/>
    <s v="Domestic"/>
    <s v="Regular"/>
    <n v="540"/>
    <n v="1172"/>
    <s v="500 Block of STEVENSON ST"/>
    <s v="HYDE ST / TURK ST"/>
    <s v="DELIVERED"/>
    <d v="2004-03-20T00:00:00"/>
    <d v="2004-09-25T00:00:00"/>
    <n v="0.46079999999999999"/>
    <n v="189"/>
    <x v="0"/>
  </r>
  <r>
    <n v="30"/>
    <n v="1275"/>
    <s v="Fashion"/>
    <s v="Domestic"/>
    <s v="Regular"/>
    <n v="581"/>
    <n v="1422"/>
    <s v="CALIFORNIA ST / DAVIS ST"/>
    <s v="0 Block of STOCKTON ST"/>
    <s v="DELIVERED"/>
    <d v="2010-02-19T00:00:00"/>
    <d v="2010-03-09T00:00:00"/>
    <n v="0.40860000000000002"/>
    <n v="18"/>
    <x v="1"/>
  </r>
  <r>
    <n v="477"/>
    <n v="6357"/>
    <s v="Fashion"/>
    <s v="International"/>
    <s v="Regular"/>
    <n v="840"/>
    <n v="1061"/>
    <s v="400 Block of LEAVENWORTH ST"/>
    <s v="NEWCOMB AV / 3RD ST"/>
    <s v="NOT DELIVERED"/>
    <d v="1986-09-07T00:00:00"/>
    <m/>
    <n v="0.79169999999999996"/>
    <s v=""/>
    <x v="0"/>
  </r>
  <r>
    <n v="52"/>
    <n v="4551"/>
    <s v="Hazardous Goods"/>
    <s v="Domestic"/>
    <s v="Express"/>
    <n v="873"/>
    <n v="1199"/>
    <s v="1000 Block of COLUMBUS AV"/>
    <s v="1400 Block of PHELPS ST"/>
    <s v="NOT DELIVERED"/>
    <d v="2016-05-20T00:00:00"/>
    <m/>
    <n v="0.72809999999999997"/>
    <s v=""/>
    <x v="0"/>
  </r>
  <r>
    <n v="73"/>
    <n v="4252"/>
    <s v="Home Furnishing"/>
    <s v="Domestic"/>
    <s v="Express"/>
    <n v="315"/>
    <n v="937"/>
    <s v="800 Block of BRYANT ST"/>
    <s v="3800 Block of 24TH ST"/>
    <s v="NOT DELIVERED"/>
    <d v="1993-03-06T00:00:00"/>
    <m/>
    <n v="0.3362"/>
    <s v=""/>
    <x v="0"/>
  </r>
  <r>
    <n v="691"/>
    <n v="2096"/>
    <s v="Industrial Equipments"/>
    <s v="Domestic"/>
    <s v="Regular"/>
    <n v="955"/>
    <n v="1369"/>
    <s v="5TH ST / MISSION ST"/>
    <s v="1500 Block of HAIGHT ST"/>
    <s v="DELIVERED"/>
    <d v="2012-05-02T00:00:00"/>
    <d v="2012-08-20T00:00:00"/>
    <n v="0.6976"/>
    <n v="110"/>
    <x v="0"/>
  </r>
  <r>
    <n v="786"/>
    <n v="5209"/>
    <s v="Healthcare"/>
    <s v="International"/>
    <s v="Express"/>
    <n v="372"/>
    <n v="679"/>
    <s v="3600 Block of SACRAMENTO ST"/>
    <s v="SCOTT ST / CHESTNUT ST"/>
    <s v="DELIVERED"/>
    <d v="1976-06-06T00:00:00"/>
    <d v="1976-08-31T00:00:00"/>
    <n v="0.54790000000000005"/>
    <n v="86"/>
    <x v="0"/>
  </r>
  <r>
    <n v="68"/>
    <n v="9271"/>
    <s v="Arts and crafts"/>
    <s v="Domestic"/>
    <s v="Express"/>
    <n v="182"/>
    <n v="726"/>
    <s v="1700 Block of FULTON ST"/>
    <s v="300 Block of HAIGHT ST"/>
    <s v="NOT DELIVERED"/>
    <d v="2004-07-30T00:00:00"/>
    <m/>
    <n v="0.25069999999999998"/>
    <s v=""/>
    <x v="0"/>
  </r>
  <r>
    <n v="630"/>
    <n v="6772"/>
    <s v="Hazardous Goods"/>
    <s v="Domestic"/>
    <s v="Regular"/>
    <n v="868"/>
    <n v="1320"/>
    <s v="3300 Block of BALBOA ST"/>
    <s v="300 Block of ELLIS ST"/>
    <s v="DELIVERED"/>
    <d v="2009-02-23T00:00:00"/>
    <d v="2009-09-29T00:00:00"/>
    <n v="0.65759999999999996"/>
    <n v="218"/>
    <x v="0"/>
  </r>
  <r>
    <n v="357"/>
    <n v="4628"/>
    <s v="Healthcare"/>
    <s v="International"/>
    <s v="Express"/>
    <n v="777"/>
    <n v="1113"/>
    <s v="200 Block of KING ST"/>
    <s v="0 Block of FUENTE AV"/>
    <s v="NOT DELIVERED"/>
    <d v="1990-10-11T00:00:00"/>
    <m/>
    <n v="0.69810000000000005"/>
    <s v=""/>
    <x v="0"/>
  </r>
  <r>
    <n v="455"/>
    <n v="3853"/>
    <s v="Construction"/>
    <s v="International"/>
    <s v="Regular"/>
    <n v="172"/>
    <n v="580"/>
    <s v="LASALLE AV / PHELPS ST"/>
    <s v="2000 Block of MISSION ST"/>
    <s v="NOT DELIVERED"/>
    <d v="2011-10-08T00:00:00"/>
    <m/>
    <n v="0.29659999999999997"/>
    <s v=""/>
    <x v="0"/>
  </r>
  <r>
    <n v="947"/>
    <n v="515"/>
    <s v="Fashion"/>
    <s v="International"/>
    <s v="Express"/>
    <n v="665"/>
    <n v="1257"/>
    <s v="3300 Block of 22ND ST"/>
    <s v="CALIFORNIA ST / POLK ST"/>
    <s v="DELIVERED"/>
    <d v="1987-01-15T00:00:00"/>
    <d v="1987-04-30T00:00:00"/>
    <n v="0.52900000000000003"/>
    <n v="105"/>
    <x v="0"/>
  </r>
  <r>
    <n v="589"/>
    <n v="7513"/>
    <s v="Arts and crafts"/>
    <s v="International"/>
    <s v="Express"/>
    <n v="516"/>
    <n v="1084"/>
    <s v="16TH ST / MISSOURI ST"/>
    <s v="200 Block of HARKNESS AV"/>
    <s v="NOT DELIVERED"/>
    <d v="1971-02-06T00:00:00"/>
    <m/>
    <n v="0.47599999999999998"/>
    <s v=""/>
    <x v="0"/>
  </r>
  <r>
    <n v="863"/>
    <n v="9030"/>
    <s v="Automotive"/>
    <s v="International"/>
    <s v="Regular"/>
    <n v="412"/>
    <n v="872"/>
    <s v="WINSTON DR / 19TH AV"/>
    <s v="300 Block of BEALE ST"/>
    <s v="NOT DELIVERED"/>
    <d v="1975-03-04T00:00:00"/>
    <m/>
    <n v="0.47249999999999998"/>
    <s v=""/>
    <x v="0"/>
  </r>
  <r>
    <n v="668"/>
    <n v="2378"/>
    <s v="Luggage"/>
    <s v="Domestic"/>
    <s v="Express"/>
    <n v="938"/>
    <n v="1067"/>
    <s v="2100 Block of 16TH AV"/>
    <s v="5TH ST / MARKET ST"/>
    <s v="DELIVERED"/>
    <d v="1972-06-10T00:00:00"/>
    <d v="1972-06-16T00:00:00"/>
    <n v="0.87909999999999999"/>
    <n v="6"/>
    <x v="3"/>
  </r>
  <r>
    <n v="206"/>
    <n v="5894"/>
    <s v="Luggage"/>
    <s v="International"/>
    <s v="Express"/>
    <n v="854"/>
    <n v="1251"/>
    <s v="1900 Block of WASHINGTON ST"/>
    <s v="CALIFORNIA ST / FILLMORE ST"/>
    <s v="NOT DELIVERED"/>
    <d v="2012-06-25T00:00:00"/>
    <m/>
    <n v="0.68269999999999997"/>
    <s v=""/>
    <x v="0"/>
  </r>
  <r>
    <n v="835"/>
    <n v="7587"/>
    <s v="Luggage"/>
    <s v="International"/>
    <s v="Regular"/>
    <n v="638"/>
    <n v="1314"/>
    <s v="MARTIN LUTHER KING JR DR / 9TH AV"/>
    <s v="0 Block of TURK ST"/>
    <s v="NOT DELIVERED"/>
    <d v="1977-01-05T00:00:00"/>
    <m/>
    <n v="0.48549999999999999"/>
    <s v=""/>
    <x v="0"/>
  </r>
  <r>
    <n v="315"/>
    <n v="1424"/>
    <s v="Food and Beverages"/>
    <s v="Domestic"/>
    <s v="Express"/>
    <n v="230"/>
    <n v="638"/>
    <s v="3RD AV / BALBOA ST"/>
    <s v="400 Block of LAKESHORE DR"/>
    <s v="NOT DELIVERED"/>
    <d v="1995-11-26T00:00:00"/>
    <m/>
    <n v="0.36049999999999999"/>
    <s v=""/>
    <x v="0"/>
  </r>
  <r>
    <n v="553"/>
    <n v="5214"/>
    <s v="Arts and crafts"/>
    <s v="Domestic"/>
    <s v="Regular"/>
    <n v="245"/>
    <n v="611"/>
    <s v="3800 Block of MISSION ST"/>
    <s v="100 Block of PAGE ST"/>
    <s v="NOT DELIVERED"/>
    <d v="1995-07-26T00:00:00"/>
    <m/>
    <n v="0.40100000000000002"/>
    <s v=""/>
    <x v="0"/>
  </r>
  <r>
    <n v="861"/>
    <n v="8249"/>
    <s v="Luggage"/>
    <s v="International"/>
    <s v="Regular"/>
    <n v="916"/>
    <n v="1255"/>
    <s v="500 Block of JOHNFKENNEDY DR"/>
    <s v="VALLEJO ST / KEARNY ST"/>
    <s v="DELIVERED"/>
    <d v="1996-02-09T00:00:00"/>
    <d v="1996-09-13T00:00:00"/>
    <n v="0.72989999999999999"/>
    <n v="217"/>
    <x v="0"/>
  </r>
  <r>
    <n v="279"/>
    <n v="3172"/>
    <s v="Construction"/>
    <s v="International"/>
    <s v="Regular"/>
    <n v="84"/>
    <n v="464"/>
    <s v="800 Block of MARKET ST"/>
    <s v="1500 Block of SLOAT BL"/>
    <s v="NOT DELIVERED"/>
    <d v="2016-03-18T00:00:00"/>
    <m/>
    <n v="0.18099999999999999"/>
    <s v=""/>
    <x v="0"/>
  </r>
  <r>
    <n v="75"/>
    <n v="5489"/>
    <s v="Fashion"/>
    <s v="Domestic"/>
    <s v="Regular"/>
    <n v="869"/>
    <n v="1317"/>
    <s v="100 Block of POWELL ST"/>
    <s v="GOLDEN GATE AV / LEAVENWORTH ST"/>
    <s v="DELIVERED"/>
    <d v="2002-05-28T00:00:00"/>
    <d v="2002-09-08T00:00:00"/>
    <n v="0.65980000000000005"/>
    <n v="103"/>
    <x v="0"/>
  </r>
  <r>
    <n v="895"/>
    <n v="2037"/>
    <s v="Arts and crafts"/>
    <s v="International"/>
    <s v="Express"/>
    <n v="271"/>
    <n v="704"/>
    <s v="500 Block of HOWARD ST"/>
    <s v="500 Block of JACKSON ST"/>
    <s v="NOT DELIVERED"/>
    <d v="2010-03-15T00:00:00"/>
    <m/>
    <n v="0.38490000000000002"/>
    <s v=""/>
    <x v="0"/>
  </r>
  <r>
    <n v="866"/>
    <n v="2401"/>
    <s v="Luggage"/>
    <s v="International"/>
    <s v="Regular"/>
    <n v="691"/>
    <n v="1260"/>
    <s v="0 Block of MYRTLE ST"/>
    <s v="2ND ST / TOWNSEND ST"/>
    <s v="DELIVERED"/>
    <d v="1995-01-22T00:00:00"/>
    <d v="1995-01-01T00:00:00"/>
    <n v="0.5484"/>
    <n v="-21"/>
    <x v="2"/>
  </r>
  <r>
    <n v="792"/>
    <n v="1303"/>
    <s v="Arts and crafts"/>
    <s v="Domestic"/>
    <s v="Regular"/>
    <n v="808"/>
    <n v="1257"/>
    <s v="900 Block of THE EMBARCADERO NORTH ST"/>
    <s v="2500 Block of OCTAVIA ST"/>
    <s v="NOT DELIVERED"/>
    <d v="2008-09-24T00:00:00"/>
    <m/>
    <n v="0.64280000000000004"/>
    <s v=""/>
    <x v="0"/>
  </r>
  <r>
    <n v="191"/>
    <n v="6798"/>
    <s v="Home Furnishing"/>
    <s v="International"/>
    <s v="Express"/>
    <n v="997"/>
    <n v="1382"/>
    <s v="600 Block of GOETTINGEN ST"/>
    <s v="100 Block of 6TH ST"/>
    <s v="DELIVERED"/>
    <d v="1989-01-03T00:00:00"/>
    <d v="1989-10-17T00:00:00"/>
    <n v="0.72140000000000004"/>
    <n v="287"/>
    <x v="0"/>
  </r>
  <r>
    <n v="59"/>
    <n v="9917"/>
    <s v="Construction"/>
    <s v="International"/>
    <s v="Regular"/>
    <n v="329"/>
    <n v="977"/>
    <s v="1000 Block of SUTTER ST"/>
    <s v="800 Block of 3RD ST"/>
    <s v="NOT DELIVERED"/>
    <d v="1984-04-02T00:00:00"/>
    <m/>
    <n v="0.3367"/>
    <s v=""/>
    <x v="0"/>
  </r>
  <r>
    <n v="748"/>
    <n v="2969"/>
    <s v="Home Furnishing"/>
    <s v="Domestic"/>
    <s v="Regular"/>
    <n v="600"/>
    <n v="1048"/>
    <s v="100 Block of MONTGOMERY ST"/>
    <s v="600 Block of PRENTISS ST"/>
    <s v="NOT DELIVERED"/>
    <d v="1987-05-07T00:00:00"/>
    <m/>
    <n v="0.57250000000000001"/>
    <s v=""/>
    <x v="0"/>
  </r>
  <r>
    <n v="693"/>
    <n v="8737"/>
    <s v="Home Furnishing"/>
    <s v="International"/>
    <s v="Express"/>
    <n v="715"/>
    <n v="1271"/>
    <s v="0 Block of POWELL ST"/>
    <s v="600 Block of VALENCIA ST"/>
    <s v="NOT DELIVERED"/>
    <d v="1984-01-04T00:00:00"/>
    <m/>
    <n v="0.5625"/>
    <s v=""/>
    <x v="0"/>
  </r>
  <r>
    <n v="955"/>
    <n v="2104"/>
    <s v="Home Furnishing"/>
    <s v="International"/>
    <s v="Express"/>
    <n v="957"/>
    <n v="1007"/>
    <s v="BARTLETT ST / 21ST ST"/>
    <s v="FELL ST / POLK ST"/>
    <s v="DELIVERED"/>
    <d v="1992-05-10T00:00:00"/>
    <d v="1992-12-27T00:00:00"/>
    <n v="0.95030000000000003"/>
    <n v="231"/>
    <x v="0"/>
  </r>
  <r>
    <n v="538"/>
    <n v="1702"/>
    <s v="Industrial Equipments"/>
    <s v="International"/>
    <s v="Express"/>
    <n v="484"/>
    <n v="863"/>
    <s v="700 Block of MARKET ST"/>
    <s v="700 Block of SWEENY ST"/>
    <s v="NOT DELIVERED"/>
    <d v="2009-08-07T00:00:00"/>
    <m/>
    <n v="0.56079999999999997"/>
    <s v=""/>
    <x v="0"/>
  </r>
  <r>
    <n v="169"/>
    <n v="8933"/>
    <s v="Electronics"/>
    <s v="International"/>
    <s v="Express"/>
    <n v="576"/>
    <n v="1077"/>
    <s v="0 Block of CAMERON WY"/>
    <s v="200 Block of DORE ST"/>
    <s v="DELIVERED"/>
    <d v="2017-03-17T00:00:00"/>
    <d v="2017-08-24T00:00:00"/>
    <n v="0.53480000000000005"/>
    <n v="160"/>
    <x v="0"/>
  </r>
  <r>
    <n v="924"/>
    <n v="3624"/>
    <s v="Construction"/>
    <s v="International"/>
    <s v="Regular"/>
    <n v="606"/>
    <n v="1021"/>
    <s v="FILLMORE ST / OFARRELL ST"/>
    <s v="HAWTHORNE ST / HARRISON ST"/>
    <s v="DELIVERED"/>
    <d v="2015-01-28T00:00:00"/>
    <d v="2015-03-20T00:00:00"/>
    <n v="0.59350000000000003"/>
    <n v="51"/>
    <x v="0"/>
  </r>
  <r>
    <n v="579"/>
    <n v="4892"/>
    <s v="Home Furnishing"/>
    <s v="Domestic"/>
    <s v="Express"/>
    <n v="913"/>
    <n v="1385"/>
    <s v="SUTTER ST / LAGUNA ST"/>
    <s v="SOUTH VAN NESS AV / 22ND ST"/>
    <s v="NOT DELIVERED"/>
    <d v="2016-12-21T00:00:00"/>
    <m/>
    <n v="0.65920000000000001"/>
    <s v=""/>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334"/>
    <x v="0"/>
    <x v="0"/>
    <n v="16"/>
    <x v="0"/>
    <s v="PAID"/>
    <d v="2010-11-30T00:00:00"/>
    <x v="0"/>
    <n v="99604"/>
    <x v="0"/>
  </r>
  <r>
    <n v="175"/>
    <x v="1"/>
    <x v="1"/>
    <n v="44"/>
    <x v="1"/>
    <s v="NOT PAID"/>
    <m/>
    <x v="0"/>
    <n v="99492"/>
    <x v="1"/>
  </r>
  <r>
    <n v="207"/>
    <x v="2"/>
    <x v="2"/>
    <n v="9"/>
    <x v="0"/>
    <s v="PAID"/>
    <d v="2005-09-15T00:00:00"/>
    <x v="0"/>
    <n v="99367"/>
    <x v="2"/>
  </r>
  <r>
    <n v="2154"/>
    <x v="3"/>
    <x v="1"/>
    <n v="52"/>
    <x v="0"/>
    <s v="NOT PAID"/>
    <m/>
    <x v="0"/>
    <n v="99239"/>
    <x v="1"/>
  </r>
  <r>
    <n v="3"/>
    <x v="4"/>
    <x v="0"/>
    <n v="32"/>
    <x v="1"/>
    <s v="NOT PAID"/>
    <m/>
    <x v="0"/>
    <n v="98982"/>
    <x v="1"/>
  </r>
  <r>
    <n v="6772"/>
    <x v="5"/>
    <x v="1"/>
    <n v="50"/>
    <x v="0"/>
    <s v="PAID"/>
    <d v="2009-09-29T00:00:00"/>
    <x v="0"/>
    <n v="96963"/>
    <x v="2"/>
  </r>
  <r>
    <n v="4060"/>
    <x v="6"/>
    <x v="1"/>
    <n v="41"/>
    <x v="1"/>
    <s v="PAID"/>
    <d v="1987-08-09T00:00:00"/>
    <x v="0"/>
    <n v="96496"/>
    <x v="3"/>
  </r>
  <r>
    <n v="3042"/>
    <x v="7"/>
    <x v="1"/>
    <n v="53"/>
    <x v="0"/>
    <s v="PAID"/>
    <d v="1991-05-15T00:00:00"/>
    <x v="0"/>
    <n v="95516"/>
    <x v="4"/>
  </r>
  <r>
    <n v="2183"/>
    <x v="8"/>
    <x v="0"/>
    <n v="52"/>
    <x v="1"/>
    <s v="PAID"/>
    <d v="2003-12-02T00:00:00"/>
    <x v="0"/>
    <n v="94926"/>
    <x v="5"/>
  </r>
  <r>
    <n v="5489"/>
    <x v="9"/>
    <x v="2"/>
    <n v="50"/>
    <x v="0"/>
    <s v="PAID"/>
    <d v="2002-09-08T00:00:00"/>
    <x v="0"/>
    <n v="93642"/>
    <x v="2"/>
  </r>
  <r>
    <n v="805"/>
    <x v="10"/>
    <x v="2"/>
    <n v="12"/>
    <x v="0"/>
    <s v="NOT PAID"/>
    <m/>
    <x v="0"/>
    <n v="91926"/>
    <x v="1"/>
  </r>
  <r>
    <n v="5209"/>
    <x v="11"/>
    <x v="2"/>
    <n v="7"/>
    <x v="0"/>
    <s v="PAID"/>
    <d v="1976-08-31T00:00:00"/>
    <x v="0"/>
    <n v="91842"/>
    <x v="3"/>
  </r>
  <r>
    <n v="8887"/>
    <x v="12"/>
    <x v="2"/>
    <n v="45"/>
    <x v="1"/>
    <s v="PAID"/>
    <d v="2009-03-09T00:00:00"/>
    <x v="0"/>
    <n v="90449"/>
    <x v="6"/>
  </r>
  <r>
    <n v="6361"/>
    <x v="13"/>
    <x v="0"/>
    <n v="27"/>
    <x v="1"/>
    <s v="PAID"/>
    <d v="1993-08-02T00:00:00"/>
    <x v="0"/>
    <n v="90380"/>
    <x v="3"/>
  </r>
  <r>
    <n v="4789"/>
    <x v="14"/>
    <x v="0"/>
    <n v="10"/>
    <x v="0"/>
    <s v="NOT PAID"/>
    <m/>
    <x v="0"/>
    <n v="89846"/>
    <x v="1"/>
  </r>
  <r>
    <n v="7253"/>
    <x v="15"/>
    <x v="0"/>
    <n v="47"/>
    <x v="0"/>
    <s v="PAID"/>
    <d v="2004-03-02T00:00:00"/>
    <x v="0"/>
    <n v="89420"/>
    <x v="6"/>
  </r>
  <r>
    <n v="4732"/>
    <x v="16"/>
    <x v="0"/>
    <n v="46"/>
    <x v="0"/>
    <s v="NOT PAID"/>
    <m/>
    <x v="0"/>
    <n v="89389"/>
    <x v="1"/>
  </r>
  <r>
    <n v="4628"/>
    <x v="17"/>
    <x v="2"/>
    <n v="16"/>
    <x v="0"/>
    <s v="NOT PAID"/>
    <m/>
    <x v="0"/>
    <n v="88092"/>
    <x v="1"/>
  </r>
  <r>
    <n v="8104"/>
    <x v="18"/>
    <x v="1"/>
    <n v="14"/>
    <x v="1"/>
    <s v="NOT PAID"/>
    <m/>
    <x v="0"/>
    <n v="88037"/>
    <x v="1"/>
  </r>
  <r>
    <n v="7043"/>
    <x v="19"/>
    <x v="2"/>
    <n v="23"/>
    <x v="0"/>
    <s v="NOT PAID"/>
    <m/>
    <x v="0"/>
    <n v="87886"/>
    <x v="1"/>
  </r>
  <r>
    <n v="9792"/>
    <x v="20"/>
    <x v="2"/>
    <n v="32"/>
    <x v="0"/>
    <s v="PAID"/>
    <d v="2014-09-09T00:00:00"/>
    <x v="0"/>
    <n v="87828"/>
    <x v="2"/>
  </r>
  <r>
    <n v="9631"/>
    <x v="21"/>
    <x v="2"/>
    <n v="15"/>
    <x v="0"/>
    <s v="NOT PAID"/>
    <m/>
    <x v="0"/>
    <n v="87420"/>
    <x v="1"/>
  </r>
  <r>
    <n v="7342"/>
    <x v="22"/>
    <x v="1"/>
    <n v="25"/>
    <x v="0"/>
    <s v="NOT PAID"/>
    <m/>
    <x v="0"/>
    <n v="87400"/>
    <x v="1"/>
  </r>
  <r>
    <n v="4103"/>
    <x v="23"/>
    <x v="0"/>
    <n v="54"/>
    <x v="0"/>
    <s v="NOT PAID"/>
    <m/>
    <x v="0"/>
    <n v="86767"/>
    <x v="1"/>
  </r>
  <r>
    <n v="3622"/>
    <x v="24"/>
    <x v="0"/>
    <n v="8"/>
    <x v="1"/>
    <s v="PAID"/>
    <d v="2019-03-01T00:00:00"/>
    <x v="0"/>
    <n v="86132"/>
    <x v="6"/>
  </r>
  <r>
    <n v="390"/>
    <x v="25"/>
    <x v="2"/>
    <n v="16"/>
    <x v="0"/>
    <s v="PAID"/>
    <d v="2013-11-15T00:00:00"/>
    <x v="0"/>
    <n v="86040"/>
    <x v="0"/>
  </r>
  <r>
    <n v="8747"/>
    <x v="26"/>
    <x v="2"/>
    <n v="20"/>
    <x v="0"/>
    <s v="PAID"/>
    <d v="1998-09-11T00:00:00"/>
    <x v="0"/>
    <n v="85889"/>
    <x v="2"/>
  </r>
  <r>
    <n v="2066"/>
    <x v="3"/>
    <x v="2"/>
    <n v="21"/>
    <x v="0"/>
    <s v="NOT PAID"/>
    <m/>
    <x v="0"/>
    <n v="84665"/>
    <x v="1"/>
  </r>
  <r>
    <n v="7164"/>
    <x v="27"/>
    <x v="2"/>
    <n v="45"/>
    <x v="0"/>
    <s v="PAID"/>
    <d v="1989-09-17T00:00:00"/>
    <x v="0"/>
    <n v="83253"/>
    <x v="2"/>
  </r>
  <r>
    <n v="1211"/>
    <x v="28"/>
    <x v="0"/>
    <n v="14"/>
    <x v="0"/>
    <s v="NOT PAID"/>
    <m/>
    <x v="0"/>
    <n v="83102"/>
    <x v="1"/>
  </r>
  <r>
    <n v="8106"/>
    <x v="29"/>
    <x v="2"/>
    <n v="31"/>
    <x v="1"/>
    <s v="PAID"/>
    <d v="1999-03-05T00:00:00"/>
    <x v="0"/>
    <n v="83002"/>
    <x v="6"/>
  </r>
  <r>
    <n v="9271"/>
    <x v="30"/>
    <x v="2"/>
    <n v="26"/>
    <x v="0"/>
    <s v="NOT PAID"/>
    <m/>
    <x v="0"/>
    <n v="81148"/>
    <x v="1"/>
  </r>
  <r>
    <n v="8894"/>
    <x v="31"/>
    <x v="1"/>
    <n v="17"/>
    <x v="1"/>
    <s v="NOT PAID"/>
    <m/>
    <x v="0"/>
    <n v="80901"/>
    <x v="1"/>
  </r>
  <r>
    <n v="1275"/>
    <x v="32"/>
    <x v="2"/>
    <n v="26"/>
    <x v="0"/>
    <s v="PAID"/>
    <d v="2010-03-09T00:00:00"/>
    <x v="0"/>
    <n v="80796"/>
    <x v="6"/>
  </r>
  <r>
    <n v="2593"/>
    <x v="33"/>
    <x v="1"/>
    <n v="13"/>
    <x v="0"/>
    <s v="PAID"/>
    <d v="2009-01-26T00:00:00"/>
    <x v="0"/>
    <n v="80179"/>
    <x v="1"/>
  </r>
  <r>
    <n v="3089"/>
    <x v="34"/>
    <x v="0"/>
    <n v="25"/>
    <x v="1"/>
    <s v="NOT PAID"/>
    <m/>
    <x v="0"/>
    <n v="78953"/>
    <x v="1"/>
  </r>
  <r>
    <n v="3189"/>
    <x v="35"/>
    <x v="1"/>
    <n v="12"/>
    <x v="1"/>
    <s v="PAID"/>
    <d v="1997-07-10T00:00:00"/>
    <x v="0"/>
    <n v="78698"/>
    <x v="7"/>
  </r>
  <r>
    <n v="6153"/>
    <x v="36"/>
    <x v="2"/>
    <n v="43"/>
    <x v="1"/>
    <s v="PAID"/>
    <d v="1997-09-08T00:00:00"/>
    <x v="0"/>
    <n v="77861"/>
    <x v="2"/>
  </r>
  <r>
    <n v="2478"/>
    <x v="37"/>
    <x v="0"/>
    <n v="23"/>
    <x v="1"/>
    <s v="PAID"/>
    <d v="1983-09-30T00:00:00"/>
    <x v="0"/>
    <n v="77649"/>
    <x v="2"/>
  </r>
  <r>
    <n v="4892"/>
    <x v="38"/>
    <x v="1"/>
    <n v="36"/>
    <x v="1"/>
    <s v="NOT PAID"/>
    <m/>
    <x v="0"/>
    <n v="77570"/>
    <x v="1"/>
  </r>
  <r>
    <n v="8183"/>
    <x v="39"/>
    <x v="2"/>
    <n v="15"/>
    <x v="0"/>
    <s v="NOT PAID"/>
    <m/>
    <x v="0"/>
    <n v="77342"/>
    <x v="1"/>
  </r>
  <r>
    <n v="4296"/>
    <x v="40"/>
    <x v="0"/>
    <n v="13"/>
    <x v="1"/>
    <s v="PAID"/>
    <d v="2013-03-09T00:00:00"/>
    <x v="0"/>
    <n v="77063"/>
    <x v="6"/>
  </r>
  <r>
    <n v="9423"/>
    <x v="41"/>
    <x v="2"/>
    <n v="21"/>
    <x v="0"/>
    <s v="NOT PAID"/>
    <m/>
    <x v="0"/>
    <n v="76658"/>
    <x v="1"/>
  </r>
  <r>
    <n v="4551"/>
    <x v="42"/>
    <x v="1"/>
    <n v="17"/>
    <x v="1"/>
    <s v="NOT PAID"/>
    <m/>
    <x v="0"/>
    <n v="75766"/>
    <x v="1"/>
  </r>
  <r>
    <n v="8933"/>
    <x v="43"/>
    <x v="2"/>
    <n v="17"/>
    <x v="0"/>
    <s v="PAID"/>
    <d v="2017-08-24T00:00:00"/>
    <x v="0"/>
    <n v="75362"/>
    <x v="3"/>
  </r>
  <r>
    <n v="4899"/>
    <x v="44"/>
    <x v="0"/>
    <n v="17"/>
    <x v="0"/>
    <s v="NOT PAID"/>
    <m/>
    <x v="0"/>
    <n v="74930"/>
    <x v="1"/>
  </r>
  <r>
    <n v="4252"/>
    <x v="45"/>
    <x v="0"/>
    <n v="37"/>
    <x v="0"/>
    <s v="NOT PAID"/>
    <m/>
    <x v="0"/>
    <n v="74338"/>
    <x v="1"/>
  </r>
  <r>
    <n v="8927"/>
    <x v="46"/>
    <x v="1"/>
    <n v="50"/>
    <x v="0"/>
    <s v="PAID"/>
    <d v="2004-11-20T00:00:00"/>
    <x v="0"/>
    <n v="74222"/>
    <x v="0"/>
  </r>
  <r>
    <n v="7146"/>
    <x v="47"/>
    <x v="1"/>
    <n v="13"/>
    <x v="1"/>
    <s v="PAID"/>
    <d v="2003-11-28T00:00:00"/>
    <x v="0"/>
    <n v="73874"/>
    <x v="0"/>
  </r>
  <r>
    <n v="693"/>
    <x v="48"/>
    <x v="0"/>
    <n v="19"/>
    <x v="1"/>
    <s v="NOT PAID"/>
    <m/>
    <x v="0"/>
    <n v="73589"/>
    <x v="1"/>
  </r>
  <r>
    <n v="1215"/>
    <x v="48"/>
    <x v="0"/>
    <n v="38"/>
    <x v="0"/>
    <s v="PAID"/>
    <d v="2006-10-22T00:00:00"/>
    <x v="0"/>
    <n v="73561"/>
    <x v="8"/>
  </r>
  <r>
    <n v="2096"/>
    <x v="49"/>
    <x v="0"/>
    <n v="41"/>
    <x v="1"/>
    <s v="PAID"/>
    <d v="2012-08-20T00:00:00"/>
    <x v="0"/>
    <n v="73423"/>
    <x v="3"/>
  </r>
  <r>
    <n v="3624"/>
    <x v="50"/>
    <x v="0"/>
    <n v="9"/>
    <x v="1"/>
    <s v="PAID"/>
    <d v="2015-03-20T00:00:00"/>
    <x v="0"/>
    <n v="73137"/>
    <x v="6"/>
  </r>
  <r>
    <n v="7005"/>
    <x v="51"/>
    <x v="2"/>
    <n v="55"/>
    <x v="1"/>
    <s v="NOT PAID"/>
    <m/>
    <x v="0"/>
    <n v="70814"/>
    <x v="1"/>
  </r>
  <r>
    <n v="3782"/>
    <x v="52"/>
    <x v="2"/>
    <n v="26"/>
    <x v="1"/>
    <s v="NOT PAID"/>
    <m/>
    <x v="0"/>
    <n v="69479"/>
    <x v="1"/>
  </r>
  <r>
    <n v="2216"/>
    <x v="53"/>
    <x v="2"/>
    <n v="43"/>
    <x v="1"/>
    <s v="NOT PAID"/>
    <m/>
    <x v="0"/>
    <n v="69417"/>
    <x v="1"/>
  </r>
  <r>
    <n v="114"/>
    <x v="54"/>
    <x v="0"/>
    <n v="44"/>
    <x v="0"/>
    <s v="PAID"/>
    <d v="1991-07-15T00:00:00"/>
    <x v="0"/>
    <n v="69113"/>
    <x v="7"/>
  </r>
  <r>
    <n v="8703"/>
    <x v="55"/>
    <x v="0"/>
    <n v="28"/>
    <x v="1"/>
    <s v="NOT PAID"/>
    <m/>
    <x v="0"/>
    <n v="68923"/>
    <x v="1"/>
  </r>
  <r>
    <n v="8737"/>
    <x v="56"/>
    <x v="2"/>
    <n v="42"/>
    <x v="0"/>
    <s v="NOT PAID"/>
    <m/>
    <x v="0"/>
    <n v="68886"/>
    <x v="1"/>
  </r>
  <r>
    <n v="6717"/>
    <x v="57"/>
    <x v="0"/>
    <n v="52"/>
    <x v="1"/>
    <s v="PAID"/>
    <d v="1982-10-29T00:00:00"/>
    <x v="0"/>
    <n v="68331"/>
    <x v="8"/>
  </r>
  <r>
    <n v="2972"/>
    <x v="58"/>
    <x v="1"/>
    <n v="11"/>
    <x v="1"/>
    <s v="PAID"/>
    <d v="1977-07-06T00:00:00"/>
    <x v="0"/>
    <n v="68227"/>
    <x v="7"/>
  </r>
  <r>
    <n v="2332"/>
    <x v="59"/>
    <x v="2"/>
    <n v="17"/>
    <x v="1"/>
    <s v="NOT PAID"/>
    <m/>
    <x v="0"/>
    <n v="67599"/>
    <x v="1"/>
  </r>
  <r>
    <n v="3095"/>
    <x v="60"/>
    <x v="2"/>
    <n v="54"/>
    <x v="1"/>
    <s v="NOT PAID"/>
    <m/>
    <x v="0"/>
    <n v="67478"/>
    <x v="1"/>
  </r>
  <r>
    <n v="6210"/>
    <x v="61"/>
    <x v="2"/>
    <n v="16"/>
    <x v="0"/>
    <s v="PAID"/>
    <d v="1991-07-03T00:00:00"/>
    <x v="0"/>
    <n v="67123"/>
    <x v="7"/>
  </r>
  <r>
    <n v="9030"/>
    <x v="62"/>
    <x v="0"/>
    <n v="28"/>
    <x v="1"/>
    <s v="NOT PAID"/>
    <m/>
    <x v="0"/>
    <n v="66582"/>
    <x v="1"/>
  </r>
  <r>
    <n v="3853"/>
    <x v="15"/>
    <x v="2"/>
    <n v="15"/>
    <x v="1"/>
    <s v="NOT PAID"/>
    <m/>
    <x v="0"/>
    <n v="66397"/>
    <x v="1"/>
  </r>
  <r>
    <n v="9807"/>
    <x v="63"/>
    <x v="2"/>
    <n v="21"/>
    <x v="1"/>
    <s v="PAID"/>
    <d v="2001-08-03T00:00:00"/>
    <x v="0"/>
    <n v="63810"/>
    <x v="3"/>
  </r>
  <r>
    <n v="7316"/>
    <x v="64"/>
    <x v="2"/>
    <n v="50"/>
    <x v="0"/>
    <s v="NOT PAID"/>
    <m/>
    <x v="0"/>
    <n v="62912"/>
    <x v="1"/>
  </r>
  <r>
    <n v="2220"/>
    <x v="65"/>
    <x v="1"/>
    <n v="25"/>
    <x v="0"/>
    <s v="PAID"/>
    <d v="1976-06-30T00:00:00"/>
    <x v="0"/>
    <n v="62528"/>
    <x v="9"/>
  </r>
  <r>
    <n v="359"/>
    <x v="66"/>
    <x v="0"/>
    <n v="40"/>
    <x v="0"/>
    <s v="NOT PAID"/>
    <m/>
    <x v="0"/>
    <n v="62151"/>
    <x v="1"/>
  </r>
  <r>
    <n v="1647"/>
    <x v="67"/>
    <x v="0"/>
    <n v="34"/>
    <x v="1"/>
    <s v="PAID"/>
    <d v="2000-03-22T00:00:00"/>
    <x v="0"/>
    <n v="61325"/>
    <x v="6"/>
  </r>
  <r>
    <n v="4233"/>
    <x v="68"/>
    <x v="0"/>
    <n v="51"/>
    <x v="1"/>
    <s v="PAID"/>
    <d v="1987-08-09T00:00:00"/>
    <x v="0"/>
    <n v="60282"/>
    <x v="3"/>
  </r>
  <r>
    <n v="3221"/>
    <x v="69"/>
    <x v="2"/>
    <n v="24"/>
    <x v="1"/>
    <s v="NOT PAID"/>
    <m/>
    <x v="0"/>
    <n v="59967"/>
    <x v="1"/>
  </r>
  <r>
    <n v="3514"/>
    <x v="70"/>
    <x v="1"/>
    <n v="40"/>
    <x v="0"/>
    <s v="PAID"/>
    <d v="2004-09-25T00:00:00"/>
    <x v="0"/>
    <n v="59651"/>
    <x v="2"/>
  </r>
  <r>
    <n v="5197"/>
    <x v="71"/>
    <x v="0"/>
    <n v="31"/>
    <x v="0"/>
    <s v="PAID"/>
    <d v="2012-01-17T00:00:00"/>
    <x v="0"/>
    <n v="59474"/>
    <x v="1"/>
  </r>
  <r>
    <n v="3132"/>
    <x v="72"/>
    <x v="2"/>
    <n v="49"/>
    <x v="0"/>
    <s v="NOT PAID"/>
    <m/>
    <x v="0"/>
    <n v="59376"/>
    <x v="1"/>
  </r>
  <r>
    <n v="2401"/>
    <x v="73"/>
    <x v="1"/>
    <n v="54"/>
    <x v="0"/>
    <s v="PAID"/>
    <d v="1995-01-01T00:00:00"/>
    <x v="0"/>
    <n v="59176"/>
    <x v="1"/>
  </r>
  <r>
    <n v="1246"/>
    <x v="74"/>
    <x v="2"/>
    <n v="30"/>
    <x v="0"/>
    <s v="PAID"/>
    <d v="2019-07-31T00:00:00"/>
    <x v="0"/>
    <n v="58736"/>
    <x v="7"/>
  </r>
  <r>
    <n v="8834"/>
    <x v="51"/>
    <x v="0"/>
    <n v="38"/>
    <x v="1"/>
    <s v="NOT PAID"/>
    <m/>
    <x v="0"/>
    <n v="58511"/>
    <x v="1"/>
  </r>
  <r>
    <n v="6732"/>
    <x v="75"/>
    <x v="0"/>
    <n v="36"/>
    <x v="0"/>
    <s v="PAID"/>
    <d v="1989-10-17T00:00:00"/>
    <x v="0"/>
    <n v="58470"/>
    <x v="8"/>
  </r>
  <r>
    <n v="1126"/>
    <x v="76"/>
    <x v="1"/>
    <n v="24"/>
    <x v="0"/>
    <s v="PAID"/>
    <d v="2010-03-02T00:00:00"/>
    <x v="0"/>
    <n v="57460"/>
    <x v="6"/>
  </r>
  <r>
    <n v="4142"/>
    <x v="77"/>
    <x v="2"/>
    <n v="49"/>
    <x v="0"/>
    <s v="PAID"/>
    <d v="1989-08-23T00:00:00"/>
    <x v="0"/>
    <n v="57138"/>
    <x v="3"/>
  </r>
  <r>
    <n v="7633"/>
    <x v="78"/>
    <x v="0"/>
    <n v="40"/>
    <x v="1"/>
    <s v="PAID"/>
    <d v="1971-11-01T00:00:00"/>
    <x v="0"/>
    <n v="56881"/>
    <x v="0"/>
  </r>
  <r>
    <n v="3633"/>
    <x v="79"/>
    <x v="0"/>
    <n v="55"/>
    <x v="0"/>
    <s v="PAID"/>
    <d v="2001-08-10T00:00:00"/>
    <x v="0"/>
    <n v="56148"/>
    <x v="3"/>
  </r>
  <r>
    <n v="4711"/>
    <x v="80"/>
    <x v="0"/>
    <n v="28"/>
    <x v="1"/>
    <s v="NOT PAID"/>
    <m/>
    <x v="0"/>
    <n v="53868"/>
    <x v="1"/>
  </r>
  <r>
    <n v="1201"/>
    <x v="81"/>
    <x v="0"/>
    <n v="38"/>
    <x v="0"/>
    <s v="PAID"/>
    <d v="1983-07-22T00:00:00"/>
    <x v="0"/>
    <n v="52868"/>
    <x v="7"/>
  </r>
  <r>
    <n v="8893"/>
    <x v="82"/>
    <x v="2"/>
    <n v="34"/>
    <x v="1"/>
    <s v="NOT PAID"/>
    <m/>
    <x v="0"/>
    <n v="52318"/>
    <x v="1"/>
  </r>
  <r>
    <n v="3733"/>
    <x v="83"/>
    <x v="0"/>
    <n v="46"/>
    <x v="1"/>
    <s v="PAID"/>
    <d v="1975-05-20T00:00:00"/>
    <x v="0"/>
    <n v="51472"/>
    <x v="4"/>
  </r>
  <r>
    <n v="9968"/>
    <x v="84"/>
    <x v="2"/>
    <n v="51"/>
    <x v="1"/>
    <s v="NOT PAID"/>
    <m/>
    <x v="0"/>
    <n v="51284"/>
    <x v="1"/>
  </r>
  <r>
    <n v="5781"/>
    <x v="85"/>
    <x v="2"/>
    <n v="13"/>
    <x v="0"/>
    <s v="NOT PAID"/>
    <m/>
    <x v="0"/>
    <n v="51104"/>
    <x v="1"/>
  </r>
  <r>
    <n v="7771"/>
    <x v="86"/>
    <x v="2"/>
    <n v="24"/>
    <x v="0"/>
    <s v="NOT PAID"/>
    <m/>
    <x v="0"/>
    <n v="51038"/>
    <x v="1"/>
  </r>
  <r>
    <n v="4523"/>
    <x v="54"/>
    <x v="1"/>
    <n v="11"/>
    <x v="1"/>
    <s v="NOT PAID"/>
    <m/>
    <x v="0"/>
    <n v="50958"/>
    <x v="1"/>
  </r>
  <r>
    <n v="6191"/>
    <x v="87"/>
    <x v="2"/>
    <n v="45"/>
    <x v="0"/>
    <s v="NOT PAID"/>
    <m/>
    <x v="0"/>
    <n v="50635"/>
    <x v="1"/>
  </r>
  <r>
    <n v="8786"/>
    <x v="88"/>
    <x v="0"/>
    <n v="9"/>
    <x v="1"/>
    <s v="NOT PAID"/>
    <m/>
    <x v="0"/>
    <n v="50374"/>
    <x v="1"/>
  </r>
  <r>
    <n v="5402"/>
    <x v="70"/>
    <x v="2"/>
    <n v="9"/>
    <x v="0"/>
    <s v="NOT PAID"/>
    <m/>
    <x v="0"/>
    <n v="50357"/>
    <x v="1"/>
  </r>
  <r>
    <n v="2969"/>
    <x v="89"/>
    <x v="2"/>
    <n v="13"/>
    <x v="1"/>
    <s v="NOT PAID"/>
    <m/>
    <x v="0"/>
    <n v="49908"/>
    <x v="1"/>
  </r>
  <r>
    <n v="230"/>
    <x v="90"/>
    <x v="0"/>
    <n v="47"/>
    <x v="1"/>
    <s v="PAID"/>
    <d v="2014-12-18T00:00:00"/>
    <x v="0"/>
    <n v="49302"/>
    <x v="5"/>
  </r>
  <r>
    <n v="6759"/>
    <x v="87"/>
    <x v="0"/>
    <n v="54"/>
    <x v="1"/>
    <s v="NOT PAID"/>
    <m/>
    <x v="0"/>
    <n v="48873"/>
    <x v="1"/>
  </r>
  <r>
    <n v="3140"/>
    <x v="91"/>
    <x v="1"/>
    <n v="22"/>
    <x v="0"/>
    <s v="PAID"/>
    <d v="2004-10-26T00:00:00"/>
    <x v="0"/>
    <n v="48657"/>
    <x v="8"/>
  </r>
  <r>
    <n v="4852"/>
    <x v="92"/>
    <x v="0"/>
    <n v="12"/>
    <x v="1"/>
    <s v="NOT PAID"/>
    <m/>
    <x v="0"/>
    <n v="48315"/>
    <x v="1"/>
  </r>
  <r>
    <n v="3917"/>
    <x v="93"/>
    <x v="0"/>
    <n v="47"/>
    <x v="0"/>
    <s v="PAID"/>
    <d v="1977-11-08T00:00:00"/>
    <x v="0"/>
    <n v="47650"/>
    <x v="0"/>
  </r>
  <r>
    <n v="249"/>
    <x v="1"/>
    <x v="2"/>
    <n v="16"/>
    <x v="1"/>
    <s v="PAID"/>
    <d v="1982-03-08T00:00:00"/>
    <x v="0"/>
    <n v="47260"/>
    <x v="6"/>
  </r>
  <r>
    <n v="1896"/>
    <x v="94"/>
    <x v="2"/>
    <n v="49"/>
    <x v="0"/>
    <s v="NOT PAID"/>
    <m/>
    <x v="0"/>
    <n v="47111"/>
    <x v="1"/>
  </r>
  <r>
    <n v="1087"/>
    <x v="95"/>
    <x v="1"/>
    <n v="18"/>
    <x v="0"/>
    <s v="PAID"/>
    <d v="2018-08-30T00:00:00"/>
    <x v="0"/>
    <n v="45852"/>
    <x v="3"/>
  </r>
  <r>
    <n v="2620"/>
    <x v="24"/>
    <x v="2"/>
    <n v="20"/>
    <x v="0"/>
    <s v="NOT PAID"/>
    <m/>
    <x v="0"/>
    <n v="45432"/>
    <x v="1"/>
  </r>
  <r>
    <n v="2142"/>
    <x v="96"/>
    <x v="0"/>
    <n v="53"/>
    <x v="1"/>
    <s v="PAID"/>
    <d v="2002-10-20T00:00:00"/>
    <x v="0"/>
    <n v="44807"/>
    <x v="8"/>
  </r>
  <r>
    <n v="9784"/>
    <x v="97"/>
    <x v="0"/>
    <n v="20"/>
    <x v="0"/>
    <s v="PAID"/>
    <d v="2013-06-21T00:00:00"/>
    <x v="0"/>
    <n v="44299"/>
    <x v="9"/>
  </r>
  <r>
    <n v="7861"/>
    <x v="98"/>
    <x v="1"/>
    <n v="20"/>
    <x v="0"/>
    <s v="PAID"/>
    <d v="2008-05-17T00:00:00"/>
    <x v="0"/>
    <n v="42257"/>
    <x v="4"/>
  </r>
  <r>
    <n v="9636"/>
    <x v="99"/>
    <x v="1"/>
    <n v="32"/>
    <x v="1"/>
    <s v="NOT PAID"/>
    <m/>
    <x v="0"/>
    <n v="42210"/>
    <x v="1"/>
  </r>
  <r>
    <n v="2378"/>
    <x v="100"/>
    <x v="0"/>
    <n v="38"/>
    <x v="1"/>
    <s v="PAID"/>
    <d v="1972-06-16T00:00:00"/>
    <x v="0"/>
    <n v="42143"/>
    <x v="9"/>
  </r>
  <r>
    <n v="2104"/>
    <x v="101"/>
    <x v="1"/>
    <n v="32"/>
    <x v="1"/>
    <s v="PAID"/>
    <d v="1992-12-27T00:00:00"/>
    <x v="0"/>
    <n v="41456"/>
    <x v="5"/>
  </r>
  <r>
    <n v="1202"/>
    <x v="5"/>
    <x v="0"/>
    <n v="19"/>
    <x v="1"/>
    <s v="NOT PAID"/>
    <m/>
    <x v="0"/>
    <n v="41003"/>
    <x v="1"/>
  </r>
  <r>
    <n v="1904"/>
    <x v="102"/>
    <x v="0"/>
    <n v="32"/>
    <x v="0"/>
    <s v="NOT PAID"/>
    <m/>
    <x v="0"/>
    <n v="39655"/>
    <x v="1"/>
  </r>
  <r>
    <n v="1702"/>
    <x v="103"/>
    <x v="1"/>
    <n v="16"/>
    <x v="0"/>
    <s v="NOT PAID"/>
    <m/>
    <x v="0"/>
    <n v="39488"/>
    <x v="1"/>
  </r>
  <r>
    <n v="5387"/>
    <x v="104"/>
    <x v="2"/>
    <n v="52"/>
    <x v="0"/>
    <s v="PAID"/>
    <d v="2005-09-15T00:00:00"/>
    <x v="0"/>
    <n v="39432"/>
    <x v="2"/>
  </r>
  <r>
    <n v="308"/>
    <x v="105"/>
    <x v="2"/>
    <n v="28"/>
    <x v="1"/>
    <s v="PAID"/>
    <d v="2006-07-17T00:00:00"/>
    <x v="0"/>
    <n v="39234"/>
    <x v="7"/>
  </r>
  <r>
    <n v="4272"/>
    <x v="106"/>
    <x v="2"/>
    <n v="12"/>
    <x v="0"/>
    <s v="NOT PAID"/>
    <m/>
    <x v="0"/>
    <n v="39001"/>
    <x v="1"/>
  </r>
  <r>
    <n v="5345"/>
    <x v="107"/>
    <x v="1"/>
    <n v="29"/>
    <x v="0"/>
    <s v="PAID"/>
    <d v="2010-08-28T00:00:00"/>
    <x v="0"/>
    <n v="38952"/>
    <x v="3"/>
  </r>
  <r>
    <n v="2121"/>
    <x v="108"/>
    <x v="1"/>
    <n v="53"/>
    <x v="0"/>
    <s v="PAID"/>
    <d v="1979-09-12T00:00:00"/>
    <x v="0"/>
    <n v="38290"/>
    <x v="2"/>
  </r>
  <r>
    <n v="1424"/>
    <x v="109"/>
    <x v="2"/>
    <n v="42"/>
    <x v="1"/>
    <s v="NOT PAID"/>
    <m/>
    <x v="0"/>
    <n v="37660"/>
    <x v="1"/>
  </r>
  <r>
    <n v="1724"/>
    <x v="110"/>
    <x v="0"/>
    <n v="43"/>
    <x v="1"/>
    <s v="PAID"/>
    <d v="2004-05-17T00:00:00"/>
    <x v="0"/>
    <n v="37286"/>
    <x v="4"/>
  </r>
  <r>
    <n v="4283"/>
    <x v="111"/>
    <x v="1"/>
    <n v="29"/>
    <x v="1"/>
    <s v="NOT PAID"/>
    <m/>
    <x v="0"/>
    <n v="36312"/>
    <x v="1"/>
  </r>
  <r>
    <n v="2241"/>
    <x v="112"/>
    <x v="0"/>
    <n v="28"/>
    <x v="0"/>
    <s v="NOT PAID"/>
    <m/>
    <x v="0"/>
    <n v="35634"/>
    <x v="1"/>
  </r>
  <r>
    <n v="6404"/>
    <x v="0"/>
    <x v="0"/>
    <n v="31"/>
    <x v="0"/>
    <s v="NOT PAID"/>
    <m/>
    <x v="0"/>
    <n v="35525"/>
    <x v="1"/>
  </r>
  <r>
    <n v="8306"/>
    <x v="113"/>
    <x v="2"/>
    <n v="16"/>
    <x v="1"/>
    <s v="NOT PAID"/>
    <m/>
    <x v="0"/>
    <n v="35369"/>
    <x v="1"/>
  </r>
  <r>
    <n v="8404"/>
    <x v="114"/>
    <x v="1"/>
    <n v="13"/>
    <x v="0"/>
    <s v="NOT PAID"/>
    <m/>
    <x v="0"/>
    <n v="35185"/>
    <x v="1"/>
  </r>
  <r>
    <n v="2037"/>
    <x v="115"/>
    <x v="1"/>
    <n v="16"/>
    <x v="0"/>
    <s v="NOT PAID"/>
    <m/>
    <x v="0"/>
    <n v="34832"/>
    <x v="1"/>
  </r>
  <r>
    <n v="7540"/>
    <x v="116"/>
    <x v="2"/>
    <n v="18"/>
    <x v="0"/>
    <s v="PAID"/>
    <d v="1980-03-16T00:00:00"/>
    <x v="0"/>
    <n v="34797"/>
    <x v="6"/>
  </r>
  <r>
    <n v="5150"/>
    <x v="117"/>
    <x v="1"/>
    <n v="9"/>
    <x v="1"/>
    <s v="NOT PAID"/>
    <m/>
    <x v="0"/>
    <n v="33435"/>
    <x v="1"/>
  </r>
  <r>
    <n v="310"/>
    <x v="118"/>
    <x v="0"/>
    <n v="21"/>
    <x v="0"/>
    <s v="NOT PAID"/>
    <m/>
    <x v="0"/>
    <n v="32800"/>
    <x v="1"/>
  </r>
  <r>
    <n v="1748"/>
    <x v="33"/>
    <x v="0"/>
    <n v="13"/>
    <x v="0"/>
    <s v="PAID"/>
    <d v="1992-11-01T00:00:00"/>
    <x v="0"/>
    <n v="32031"/>
    <x v="0"/>
  </r>
  <r>
    <n v="7773"/>
    <x v="119"/>
    <x v="0"/>
    <n v="41"/>
    <x v="0"/>
    <s v="PAID"/>
    <d v="1985-01-31T00:00:00"/>
    <x v="0"/>
    <n v="30239"/>
    <x v="1"/>
  </r>
  <r>
    <n v="1164"/>
    <x v="120"/>
    <x v="0"/>
    <n v="43"/>
    <x v="0"/>
    <s v="PAID"/>
    <d v="1994-04-09T00:00:00"/>
    <x v="0"/>
    <n v="30192"/>
    <x v="10"/>
  </r>
  <r>
    <n v="7764"/>
    <x v="121"/>
    <x v="1"/>
    <n v="16"/>
    <x v="0"/>
    <s v="NOT PAID"/>
    <m/>
    <x v="0"/>
    <n v="28987"/>
    <x v="1"/>
  </r>
  <r>
    <n v="896"/>
    <x v="122"/>
    <x v="0"/>
    <n v="44"/>
    <x v="1"/>
    <s v="PAID"/>
    <d v="2013-11-15T00:00:00"/>
    <x v="0"/>
    <n v="28701"/>
    <x v="0"/>
  </r>
  <r>
    <n v="5894"/>
    <x v="123"/>
    <x v="0"/>
    <n v="13"/>
    <x v="0"/>
    <s v="NOT PAID"/>
    <m/>
    <x v="0"/>
    <n v="27741"/>
    <x v="1"/>
  </r>
  <r>
    <n v="9645"/>
    <x v="106"/>
    <x v="1"/>
    <n v="27"/>
    <x v="1"/>
    <s v="PAID"/>
    <d v="2006-01-09T00:00:00"/>
    <x v="0"/>
    <n v="27590"/>
    <x v="1"/>
  </r>
  <r>
    <n v="1278"/>
    <x v="124"/>
    <x v="1"/>
    <n v="49"/>
    <x v="0"/>
    <s v="PAID"/>
    <d v="1977-11-08T00:00:00"/>
    <x v="0"/>
    <n v="27105"/>
    <x v="0"/>
  </r>
  <r>
    <n v="6546"/>
    <x v="125"/>
    <x v="1"/>
    <n v="16"/>
    <x v="0"/>
    <s v="NOT PAID"/>
    <m/>
    <x v="0"/>
    <n v="26060"/>
    <x v="1"/>
  </r>
  <r>
    <n v="3571"/>
    <x v="70"/>
    <x v="2"/>
    <n v="41"/>
    <x v="1"/>
    <s v="NOT PAID"/>
    <m/>
    <x v="0"/>
    <n v="25677"/>
    <x v="1"/>
  </r>
  <r>
    <n v="9486"/>
    <x v="126"/>
    <x v="1"/>
    <n v="23"/>
    <x v="1"/>
    <s v="PAID"/>
    <d v="2002-10-20T00:00:00"/>
    <x v="0"/>
    <n v="24856"/>
    <x v="8"/>
  </r>
  <r>
    <n v="2159"/>
    <x v="127"/>
    <x v="2"/>
    <n v="10"/>
    <x v="0"/>
    <s v="PAID"/>
    <d v="2011-06-25T00:00:00"/>
    <x v="0"/>
    <n v="24449"/>
    <x v="9"/>
  </r>
  <r>
    <n v="5578"/>
    <x v="128"/>
    <x v="1"/>
    <n v="22"/>
    <x v="1"/>
    <s v="NOT PAID"/>
    <m/>
    <x v="0"/>
    <n v="24053"/>
    <x v="1"/>
  </r>
  <r>
    <n v="5543"/>
    <x v="129"/>
    <x v="1"/>
    <n v="55"/>
    <x v="0"/>
    <s v="NOT PAID"/>
    <m/>
    <x v="0"/>
    <n v="23921"/>
    <x v="1"/>
  </r>
  <r>
    <n v="5330"/>
    <x v="130"/>
    <x v="2"/>
    <n v="18"/>
    <x v="1"/>
    <s v="PAID"/>
    <d v="2011-06-08T00:00:00"/>
    <x v="0"/>
    <n v="23055"/>
    <x v="9"/>
  </r>
  <r>
    <n v="8103"/>
    <x v="3"/>
    <x v="2"/>
    <n v="47"/>
    <x v="1"/>
    <s v="PAID"/>
    <d v="2007-07-12T00:00:00"/>
    <x v="0"/>
    <n v="23003"/>
    <x v="7"/>
  </r>
  <r>
    <n v="2525"/>
    <x v="131"/>
    <x v="0"/>
    <n v="16"/>
    <x v="1"/>
    <s v="PAID"/>
    <d v="1992-12-25T00:00:00"/>
    <x v="0"/>
    <n v="22261"/>
    <x v="5"/>
  </r>
  <r>
    <n v="2601"/>
    <x v="132"/>
    <x v="1"/>
    <n v="44"/>
    <x v="1"/>
    <s v="NOT PAID"/>
    <m/>
    <x v="0"/>
    <n v="22214"/>
    <x v="1"/>
  </r>
  <r>
    <n v="2208"/>
    <x v="133"/>
    <x v="2"/>
    <n v="33"/>
    <x v="1"/>
    <s v="PAID"/>
    <d v="2013-08-11T00:00:00"/>
    <x v="0"/>
    <n v="21972"/>
    <x v="3"/>
  </r>
  <r>
    <n v="6713"/>
    <x v="134"/>
    <x v="2"/>
    <n v="22"/>
    <x v="0"/>
    <s v="NOT PAID"/>
    <m/>
    <x v="0"/>
    <n v="21813"/>
    <x v="1"/>
  </r>
  <r>
    <n v="9943"/>
    <x v="135"/>
    <x v="0"/>
    <n v="44"/>
    <x v="0"/>
    <s v="NOT PAID"/>
    <m/>
    <x v="0"/>
    <n v="21639"/>
    <x v="1"/>
  </r>
  <r>
    <n v="4988"/>
    <x v="136"/>
    <x v="1"/>
    <n v="14"/>
    <x v="1"/>
    <s v="NOT PAID"/>
    <m/>
    <x v="0"/>
    <n v="21021"/>
    <x v="1"/>
  </r>
  <r>
    <n v="3172"/>
    <x v="3"/>
    <x v="0"/>
    <n v="46"/>
    <x v="1"/>
    <s v="NOT PAID"/>
    <m/>
    <x v="0"/>
    <n v="21003"/>
    <x v="1"/>
  </r>
  <r>
    <n v="4351"/>
    <x v="124"/>
    <x v="0"/>
    <n v="12"/>
    <x v="1"/>
    <s v="NOT PAID"/>
    <m/>
    <x v="0"/>
    <n v="20357"/>
    <x v="1"/>
  </r>
  <r>
    <n v="9251"/>
    <x v="137"/>
    <x v="2"/>
    <n v="21"/>
    <x v="0"/>
    <s v="PAID"/>
    <d v="1977-03-30T00:00:00"/>
    <x v="0"/>
    <n v="20238"/>
    <x v="6"/>
  </r>
  <r>
    <n v="6746"/>
    <x v="138"/>
    <x v="1"/>
    <n v="50"/>
    <x v="0"/>
    <s v="PAID"/>
    <d v="2006-10-20T00:00:00"/>
    <x v="0"/>
    <n v="20194"/>
    <x v="8"/>
  </r>
  <r>
    <n v="563"/>
    <x v="139"/>
    <x v="2"/>
    <n v="51"/>
    <x v="0"/>
    <s v="NOT PAID"/>
    <m/>
    <x v="0"/>
    <n v="20187"/>
    <x v="1"/>
  </r>
  <r>
    <n v="6357"/>
    <x v="140"/>
    <x v="2"/>
    <n v="17"/>
    <x v="0"/>
    <s v="NOT PAID"/>
    <m/>
    <x v="0"/>
    <n v="19804"/>
    <x v="1"/>
  </r>
  <r>
    <n v="9377"/>
    <x v="141"/>
    <x v="0"/>
    <n v="23"/>
    <x v="0"/>
    <s v="NOT PAID"/>
    <m/>
    <x v="0"/>
    <n v="19386"/>
    <x v="1"/>
  </r>
  <r>
    <n v="5269"/>
    <x v="142"/>
    <x v="2"/>
    <n v="24"/>
    <x v="0"/>
    <s v="NOT PAID"/>
    <m/>
    <x v="0"/>
    <n v="19346"/>
    <x v="1"/>
  </r>
  <r>
    <n v="9598"/>
    <x v="15"/>
    <x v="0"/>
    <n v="42"/>
    <x v="0"/>
    <s v="PAID"/>
    <d v="1982-10-15T00:00:00"/>
    <x v="0"/>
    <n v="18598"/>
    <x v="8"/>
  </r>
  <r>
    <n v="6798"/>
    <x v="143"/>
    <x v="0"/>
    <n v="25"/>
    <x v="1"/>
    <s v="PAID"/>
    <d v="1989-10-17T00:00:00"/>
    <x v="0"/>
    <n v="17651"/>
    <x v="8"/>
  </r>
  <r>
    <n v="9934"/>
    <x v="144"/>
    <x v="2"/>
    <n v="32"/>
    <x v="0"/>
    <s v="PAID"/>
    <d v="1997-06-12T00:00:00"/>
    <x v="0"/>
    <n v="17035"/>
    <x v="9"/>
  </r>
  <r>
    <n v="8249"/>
    <x v="145"/>
    <x v="2"/>
    <n v="31"/>
    <x v="1"/>
    <s v="PAID"/>
    <d v="1996-09-13T00:00:00"/>
    <x v="0"/>
    <n v="16690"/>
    <x v="2"/>
  </r>
  <r>
    <n v="5214"/>
    <x v="146"/>
    <x v="2"/>
    <n v="55"/>
    <x v="1"/>
    <s v="NOT PAID"/>
    <m/>
    <x v="0"/>
    <n v="16299"/>
    <x v="1"/>
  </r>
  <r>
    <n v="3965"/>
    <x v="147"/>
    <x v="2"/>
    <n v="23"/>
    <x v="0"/>
    <s v="PAID"/>
    <d v="2013-11-15T00:00:00"/>
    <x v="0"/>
    <n v="16113"/>
    <x v="0"/>
  </r>
  <r>
    <n v="9177"/>
    <x v="148"/>
    <x v="1"/>
    <n v="16"/>
    <x v="1"/>
    <s v="PAID"/>
    <d v="1996-05-01T00:00:00"/>
    <x v="0"/>
    <n v="15307"/>
    <x v="4"/>
  </r>
  <r>
    <n v="2308"/>
    <x v="149"/>
    <x v="0"/>
    <n v="47"/>
    <x v="0"/>
    <s v="PAID"/>
    <d v="2008-08-09T00:00:00"/>
    <x v="0"/>
    <n v="13740"/>
    <x v="3"/>
  </r>
  <r>
    <n v="5958"/>
    <x v="117"/>
    <x v="2"/>
    <n v="52"/>
    <x v="0"/>
    <s v="PAID"/>
    <d v="2004-09-25T00:00:00"/>
    <x v="0"/>
    <n v="13693"/>
    <x v="2"/>
  </r>
  <r>
    <n v="6787"/>
    <x v="150"/>
    <x v="1"/>
    <n v="26"/>
    <x v="1"/>
    <s v="NOT PAID"/>
    <m/>
    <x v="0"/>
    <n v="13394"/>
    <x v="1"/>
  </r>
  <r>
    <n v="4920"/>
    <x v="151"/>
    <x v="2"/>
    <n v="44"/>
    <x v="0"/>
    <s v="NOT PAID"/>
    <m/>
    <x v="0"/>
    <n v="13169"/>
    <x v="1"/>
  </r>
  <r>
    <n v="6767"/>
    <x v="45"/>
    <x v="1"/>
    <n v="15"/>
    <x v="0"/>
    <s v="PAID"/>
    <d v="2012-10-04T00:00:00"/>
    <x v="0"/>
    <n v="12462"/>
    <x v="8"/>
  </r>
  <r>
    <n v="2396"/>
    <x v="152"/>
    <x v="2"/>
    <n v="42"/>
    <x v="0"/>
    <s v="PAID"/>
    <d v="2005-09-15T00:00:00"/>
    <x v="0"/>
    <n v="11223"/>
    <x v="2"/>
  </r>
  <r>
    <n v="6225"/>
    <x v="120"/>
    <x v="0"/>
    <n v="17"/>
    <x v="0"/>
    <s v="PAID"/>
    <d v="2006-12-23T00:00:00"/>
    <x v="0"/>
    <n v="10366"/>
    <x v="5"/>
  </r>
  <r>
    <n v="2257"/>
    <x v="144"/>
    <x v="2"/>
    <n v="28"/>
    <x v="1"/>
    <s v="NOT PAID"/>
    <m/>
    <x v="0"/>
    <n v="10001"/>
    <x v="1"/>
  </r>
  <r>
    <n v="4053"/>
    <x v="153"/>
    <x v="2"/>
    <n v="13"/>
    <x v="1"/>
    <s v="NOT PAID"/>
    <m/>
    <x v="0"/>
    <n v="9691"/>
    <x v="1"/>
  </r>
  <r>
    <n v="9858"/>
    <x v="154"/>
    <x v="1"/>
    <n v="24"/>
    <x v="0"/>
    <s v="NOT PAID"/>
    <m/>
    <x v="0"/>
    <n v="9520"/>
    <x v="1"/>
  </r>
  <r>
    <n v="2573"/>
    <x v="155"/>
    <x v="0"/>
    <n v="18"/>
    <x v="1"/>
    <s v="PAID"/>
    <d v="2016-09-21T00:00:00"/>
    <x v="0"/>
    <n v="8206"/>
    <x v="2"/>
  </r>
  <r>
    <n v="1897"/>
    <x v="156"/>
    <x v="1"/>
    <n v="47"/>
    <x v="1"/>
    <s v="NOT PAID"/>
    <m/>
    <x v="0"/>
    <n v="7389"/>
    <x v="1"/>
  </r>
  <r>
    <n v="519"/>
    <x v="157"/>
    <x v="2"/>
    <n v="40"/>
    <x v="1"/>
    <s v="NOT PAID"/>
    <m/>
    <x v="0"/>
    <n v="7068"/>
    <x v="1"/>
  </r>
  <r>
    <n v="584"/>
    <x v="88"/>
    <x v="1"/>
    <n v="50"/>
    <x v="1"/>
    <s v="NOT PAID"/>
    <m/>
    <x v="0"/>
    <n v="5769"/>
    <x v="1"/>
  </r>
  <r>
    <n v="7513"/>
    <x v="158"/>
    <x v="1"/>
    <n v="31"/>
    <x v="1"/>
    <s v="NOT PAID"/>
    <m/>
    <x v="0"/>
    <n v="5059"/>
    <x v="1"/>
  </r>
  <r>
    <n v="4527"/>
    <x v="159"/>
    <x v="1"/>
    <n v="37"/>
    <x v="1"/>
    <s v="PAID"/>
    <d v="2002-01-05T00:00:00"/>
    <x v="1"/>
    <n v="3951"/>
    <x v="1"/>
  </r>
  <r>
    <n v="1303"/>
    <x v="160"/>
    <x v="0"/>
    <n v="44"/>
    <x v="0"/>
    <s v="NOT PAID"/>
    <m/>
    <x v="1"/>
    <n v="3846"/>
    <x v="1"/>
  </r>
  <r>
    <n v="4094"/>
    <x v="96"/>
    <x v="0"/>
    <n v="8"/>
    <x v="0"/>
    <s v="NOT PAID"/>
    <m/>
    <x v="1"/>
    <n v="3725"/>
    <x v="1"/>
  </r>
  <r>
    <n v="7485"/>
    <x v="159"/>
    <x v="2"/>
    <n v="47"/>
    <x v="1"/>
    <s v="PAID"/>
    <d v="2010-04-27T00:00:00"/>
    <x v="1"/>
    <n v="3244"/>
    <x v="10"/>
  </r>
  <r>
    <n v="3569"/>
    <x v="161"/>
    <x v="2"/>
    <n v="10"/>
    <x v="1"/>
    <s v="PAID"/>
    <d v="2014-07-02T00:00:00"/>
    <x v="1"/>
    <n v="3119"/>
    <x v="7"/>
  </r>
  <r>
    <n v="8860"/>
    <x v="162"/>
    <x v="2"/>
    <n v="29"/>
    <x v="1"/>
    <s v="PAID"/>
    <d v="1990-09-11T00:00:00"/>
    <x v="1"/>
    <n v="2988"/>
    <x v="2"/>
  </r>
  <r>
    <n v="9917"/>
    <x v="36"/>
    <x v="1"/>
    <n v="12"/>
    <x v="1"/>
    <s v="NOT PAID"/>
    <m/>
    <x v="1"/>
    <n v="2282"/>
    <x v="1"/>
  </r>
  <r>
    <n v="4322"/>
    <x v="100"/>
    <x v="0"/>
    <n v="25"/>
    <x v="0"/>
    <s v="PAID"/>
    <d v="1995-08-23T00:00:00"/>
    <x v="1"/>
    <n v="1760"/>
    <x v="3"/>
  </r>
  <r>
    <n v="515"/>
    <x v="163"/>
    <x v="1"/>
    <n v="9"/>
    <x v="1"/>
    <s v="PAID"/>
    <d v="1987-04-30T00:00:00"/>
    <x v="1"/>
    <n v="1714"/>
    <x v="10"/>
  </r>
  <r>
    <n v="6513"/>
    <x v="164"/>
    <x v="2"/>
    <n v="32"/>
    <x v="0"/>
    <s v="PAID"/>
    <d v="2019-12-12T00:00:00"/>
    <x v="1"/>
    <n v="1421"/>
    <x v="5"/>
  </r>
  <r>
    <n v="9770"/>
    <x v="165"/>
    <x v="1"/>
    <n v="20"/>
    <x v="0"/>
    <s v="PAID"/>
    <d v="1977-11-08T00:00:00"/>
    <x v="2"/>
    <n v="987"/>
    <x v="0"/>
  </r>
  <r>
    <n v="7828"/>
    <x v="166"/>
    <x v="0"/>
    <n v="31"/>
    <x v="1"/>
    <s v="PAID"/>
    <d v="2006-07-17T00:00:00"/>
    <x v="2"/>
    <n v="894"/>
    <x v="7"/>
  </r>
  <r>
    <n v="2656"/>
    <x v="120"/>
    <x v="1"/>
    <n v="44"/>
    <x v="0"/>
    <s v="NOT PAID"/>
    <m/>
    <x v="2"/>
    <n v="806"/>
    <x v="1"/>
  </r>
  <r>
    <n v="8808"/>
    <x v="167"/>
    <x v="2"/>
    <n v="24"/>
    <x v="1"/>
    <s v="NOT PAID"/>
    <m/>
    <x v="2"/>
    <n v="766"/>
    <x v="1"/>
  </r>
  <r>
    <n v="7587"/>
    <x v="168"/>
    <x v="0"/>
    <n v="14"/>
    <x v="1"/>
    <s v="NOT PAID"/>
    <m/>
    <x v="2"/>
    <n v="696"/>
    <x v="1"/>
  </r>
  <r>
    <n v="3270"/>
    <x v="109"/>
    <x v="2"/>
    <n v="28"/>
    <x v="1"/>
    <s v="PAID"/>
    <d v="1974-05-25T00:00:00"/>
    <x v="2"/>
    <n v="559"/>
    <x v="4"/>
  </r>
  <r>
    <n v="1980"/>
    <x v="169"/>
    <x v="2"/>
    <n v="49"/>
    <x v="0"/>
    <s v="NOT PAID"/>
    <m/>
    <x v="2"/>
    <n v="426"/>
    <x v="1"/>
  </r>
  <r>
    <n v="2182"/>
    <x v="170"/>
    <x v="2"/>
    <n v="55"/>
    <x v="0"/>
    <s v="NOT PAID"/>
    <m/>
    <x v="2"/>
    <n v="312"/>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582"/>
    <x v="0"/>
    <x v="0"/>
    <x v="0"/>
    <n v="690"/>
  </r>
  <r>
    <n v="396"/>
    <x v="1"/>
    <x v="1"/>
    <x v="1"/>
    <n v="933"/>
  </r>
  <r>
    <n v="545"/>
    <x v="2"/>
    <x v="2"/>
    <x v="2"/>
    <n v="261"/>
  </r>
  <r>
    <n v="770"/>
    <x v="3"/>
    <x v="3"/>
    <x v="3"/>
    <n v="445"/>
  </r>
  <r>
    <n v="991"/>
    <x v="4"/>
    <x v="4"/>
    <x v="4"/>
    <n v="722"/>
  </r>
  <r>
    <n v="437"/>
    <x v="5"/>
    <x v="5"/>
    <x v="5"/>
    <n v="129"/>
  </r>
  <r>
    <n v="805"/>
    <x v="6"/>
    <x v="6"/>
    <x v="6"/>
    <n v="489"/>
  </r>
  <r>
    <n v="803"/>
    <x v="7"/>
    <x v="7"/>
    <x v="3"/>
    <n v="165"/>
  </r>
  <r>
    <n v="295"/>
    <x v="8"/>
    <x v="8"/>
    <x v="4"/>
    <n v="164"/>
  </r>
  <r>
    <n v="804"/>
    <x v="9"/>
    <x v="0"/>
    <x v="7"/>
    <n v="364"/>
  </r>
  <r>
    <n v="54"/>
    <x v="10"/>
    <x v="9"/>
    <x v="8"/>
    <n v="469"/>
  </r>
  <r>
    <n v="853"/>
    <x v="11"/>
    <x v="10"/>
    <x v="9"/>
    <n v="158"/>
  </r>
  <r>
    <n v="902"/>
    <x v="12"/>
    <x v="11"/>
    <x v="10"/>
    <n v="337"/>
  </r>
  <r>
    <n v="163"/>
    <x v="13"/>
    <x v="12"/>
    <x v="11"/>
    <n v="634"/>
  </r>
  <r>
    <n v="993"/>
    <x v="14"/>
    <x v="4"/>
    <x v="0"/>
    <n v="577"/>
  </r>
  <r>
    <n v="891"/>
    <x v="15"/>
    <x v="13"/>
    <x v="12"/>
    <n v="907"/>
  </r>
  <r>
    <n v="950"/>
    <x v="16"/>
    <x v="14"/>
    <x v="4"/>
    <n v="870"/>
  </r>
  <r>
    <n v="292"/>
    <x v="17"/>
    <x v="9"/>
    <x v="4"/>
    <n v="982"/>
  </r>
  <r>
    <n v="90"/>
    <x v="18"/>
    <x v="15"/>
    <x v="13"/>
    <n v="351"/>
  </r>
  <r>
    <n v="49"/>
    <x v="19"/>
    <x v="1"/>
    <x v="1"/>
    <n v="328"/>
  </r>
  <r>
    <n v="100"/>
    <x v="20"/>
    <x v="7"/>
    <x v="14"/>
    <n v="242"/>
  </r>
  <r>
    <n v="405"/>
    <x v="21"/>
    <x v="13"/>
    <x v="15"/>
    <n v="421"/>
  </r>
  <r>
    <n v="584"/>
    <x v="22"/>
    <x v="16"/>
    <x v="16"/>
    <n v="6"/>
  </r>
  <r>
    <n v="326"/>
    <x v="18"/>
    <x v="17"/>
    <x v="17"/>
    <n v="384"/>
  </r>
  <r>
    <n v="95"/>
    <x v="23"/>
    <x v="9"/>
    <x v="4"/>
    <n v="286"/>
  </r>
  <r>
    <n v="600"/>
    <x v="24"/>
    <x v="18"/>
    <x v="18"/>
    <n v="892"/>
  </r>
  <r>
    <n v="26"/>
    <x v="25"/>
    <x v="8"/>
    <x v="19"/>
    <n v="558"/>
  </r>
  <r>
    <n v="515"/>
    <x v="26"/>
    <x v="19"/>
    <x v="5"/>
    <n v="481"/>
  </r>
  <r>
    <n v="876"/>
    <x v="27"/>
    <x v="4"/>
    <x v="17"/>
    <n v="155"/>
  </r>
  <r>
    <n v="691"/>
    <x v="0"/>
    <x v="8"/>
    <x v="8"/>
    <n v="771"/>
  </r>
  <r>
    <n v="605"/>
    <x v="28"/>
    <x v="20"/>
    <x v="20"/>
    <n v="945"/>
  </r>
  <r>
    <n v="864"/>
    <x v="29"/>
    <x v="21"/>
    <x v="7"/>
    <n v="719"/>
  </r>
  <r>
    <n v="886"/>
    <x v="30"/>
    <x v="1"/>
    <x v="5"/>
    <n v="493"/>
  </r>
  <r>
    <n v="365"/>
    <x v="31"/>
    <x v="18"/>
    <x v="21"/>
    <n v="998"/>
  </r>
  <r>
    <n v="946"/>
    <x v="18"/>
    <x v="22"/>
    <x v="12"/>
    <n v="968"/>
  </r>
  <r>
    <n v="152"/>
    <x v="32"/>
    <x v="19"/>
    <x v="17"/>
    <n v="738"/>
  </r>
  <r>
    <n v="789"/>
    <x v="33"/>
    <x v="5"/>
    <x v="3"/>
    <n v="912"/>
  </r>
  <r>
    <n v="148"/>
    <x v="34"/>
    <x v="3"/>
    <x v="15"/>
    <n v="782"/>
  </r>
  <r>
    <n v="7"/>
    <x v="35"/>
    <x v="2"/>
    <x v="22"/>
    <n v="140"/>
  </r>
  <r>
    <n v="982"/>
    <x v="36"/>
    <x v="16"/>
    <x v="1"/>
    <n v="702"/>
  </r>
  <r>
    <n v="249"/>
    <x v="37"/>
    <x v="15"/>
    <x v="0"/>
    <n v="284"/>
  </r>
  <r>
    <n v="273"/>
    <x v="38"/>
    <x v="4"/>
    <x v="17"/>
    <n v="199"/>
  </r>
  <r>
    <n v="172"/>
    <x v="39"/>
    <x v="7"/>
    <x v="0"/>
    <n v="228"/>
  </r>
  <r>
    <n v="234"/>
    <x v="40"/>
    <x v="5"/>
    <x v="13"/>
    <n v="908"/>
  </r>
  <r>
    <n v="844"/>
    <x v="41"/>
    <x v="21"/>
    <x v="11"/>
    <n v="594"/>
  </r>
  <r>
    <n v="368"/>
    <x v="42"/>
    <x v="7"/>
    <x v="0"/>
    <n v="542"/>
  </r>
  <r>
    <n v="372"/>
    <x v="43"/>
    <x v="2"/>
    <x v="1"/>
    <n v="586"/>
  </r>
  <r>
    <n v="82"/>
    <x v="44"/>
    <x v="17"/>
    <x v="23"/>
    <n v="636"/>
  </r>
  <r>
    <n v="528"/>
    <x v="45"/>
    <x v="0"/>
    <x v="22"/>
    <n v="581"/>
  </r>
  <r>
    <n v="143"/>
    <x v="46"/>
    <x v="13"/>
    <x v="2"/>
    <n v="336"/>
  </r>
  <r>
    <n v="429"/>
    <x v="47"/>
    <x v="3"/>
    <x v="8"/>
    <n v="504"/>
  </r>
  <r>
    <n v="47"/>
    <x v="48"/>
    <x v="1"/>
    <x v="24"/>
    <n v="346"/>
  </r>
  <r>
    <n v="790"/>
    <x v="49"/>
    <x v="22"/>
    <x v="1"/>
    <n v="135"/>
  </r>
  <r>
    <n v="427"/>
    <x v="50"/>
    <x v="4"/>
    <x v="13"/>
    <n v="822"/>
  </r>
  <r>
    <n v="906"/>
    <x v="51"/>
    <x v="20"/>
    <x v="25"/>
    <n v="95"/>
  </r>
  <r>
    <n v="750"/>
    <x v="52"/>
    <x v="18"/>
    <x v="26"/>
    <n v="597"/>
  </r>
  <r>
    <n v="913"/>
    <x v="53"/>
    <x v="23"/>
    <x v="4"/>
    <n v="340"/>
  </r>
  <r>
    <n v="31"/>
    <x v="54"/>
    <x v="20"/>
    <x v="27"/>
    <n v="905"/>
  </r>
  <r>
    <n v="733"/>
    <x v="55"/>
    <x v="16"/>
    <x v="28"/>
    <n v="250"/>
  </r>
  <r>
    <n v="624"/>
    <x v="56"/>
    <x v="21"/>
    <x v="13"/>
    <n v="400"/>
  </r>
  <r>
    <n v="199"/>
    <x v="57"/>
    <x v="19"/>
    <x v="29"/>
    <n v="877"/>
  </r>
  <r>
    <n v="112"/>
    <x v="58"/>
    <x v="8"/>
    <x v="2"/>
    <n v="97"/>
  </r>
  <r>
    <n v="256"/>
    <x v="59"/>
    <x v="18"/>
    <x v="30"/>
    <n v="12"/>
  </r>
  <r>
    <n v="848"/>
    <x v="60"/>
    <x v="19"/>
    <x v="21"/>
    <n v="353"/>
  </r>
  <r>
    <n v="102"/>
    <x v="6"/>
    <x v="19"/>
    <x v="11"/>
    <n v="856"/>
  </r>
  <r>
    <n v="361"/>
    <x v="61"/>
    <x v="0"/>
    <x v="17"/>
    <n v="1"/>
  </r>
  <r>
    <n v="962"/>
    <x v="62"/>
    <x v="11"/>
    <x v="7"/>
    <n v="390"/>
  </r>
  <r>
    <n v="443"/>
    <x v="63"/>
    <x v="10"/>
    <x v="10"/>
    <n v="446"/>
  </r>
  <r>
    <n v="977"/>
    <x v="64"/>
    <x v="24"/>
    <x v="16"/>
    <n v="32"/>
  </r>
  <r>
    <n v="936"/>
    <x v="65"/>
    <x v="0"/>
    <x v="31"/>
    <n v="420"/>
  </r>
  <r>
    <n v="395"/>
    <x v="66"/>
    <x v="13"/>
    <x v="0"/>
    <n v="708"/>
  </r>
  <r>
    <n v="344"/>
    <x v="67"/>
    <x v="25"/>
    <x v="32"/>
    <n v="227"/>
  </r>
  <r>
    <n v="48"/>
    <x v="68"/>
    <x v="14"/>
    <x v="21"/>
    <n v="595"/>
  </r>
  <r>
    <n v="362"/>
    <x v="69"/>
    <x v="1"/>
    <x v="5"/>
    <n v="211"/>
  </r>
  <r>
    <n v="88"/>
    <x v="70"/>
    <x v="20"/>
    <x v="17"/>
    <n v="650"/>
  </r>
  <r>
    <n v="289"/>
    <x v="71"/>
    <x v="1"/>
    <x v="33"/>
    <n v="45"/>
  </r>
  <r>
    <n v="704"/>
    <x v="72"/>
    <x v="8"/>
    <x v="21"/>
    <n v="201"/>
  </r>
  <r>
    <n v="903"/>
    <x v="73"/>
    <x v="21"/>
    <x v="33"/>
    <n v="564"/>
  </r>
  <r>
    <n v="315"/>
    <x v="74"/>
    <x v="1"/>
    <x v="25"/>
    <n v="138"/>
  </r>
  <r>
    <n v="501"/>
    <x v="75"/>
    <x v="10"/>
    <x v="17"/>
    <n v="57"/>
  </r>
  <r>
    <n v="812"/>
    <x v="76"/>
    <x v="0"/>
    <x v="5"/>
    <n v="128"/>
  </r>
  <r>
    <n v="953"/>
    <x v="77"/>
    <x v="25"/>
    <x v="2"/>
    <n v="33"/>
  </r>
  <r>
    <n v="830"/>
    <x v="37"/>
    <x v="26"/>
    <x v="1"/>
    <n v="936"/>
  </r>
  <r>
    <n v="656"/>
    <x v="78"/>
    <x v="17"/>
    <x v="29"/>
    <n v="762"/>
  </r>
  <r>
    <n v="935"/>
    <x v="79"/>
    <x v="18"/>
    <x v="20"/>
    <n v="838"/>
  </r>
  <r>
    <n v="762"/>
    <x v="80"/>
    <x v="0"/>
    <x v="9"/>
    <n v="215"/>
  </r>
  <r>
    <n v="698"/>
    <x v="48"/>
    <x v="7"/>
    <x v="16"/>
    <n v="818"/>
  </r>
  <r>
    <n v="294"/>
    <x v="81"/>
    <x v="23"/>
    <x v="28"/>
    <n v="780"/>
  </r>
  <r>
    <n v="535"/>
    <x v="82"/>
    <x v="2"/>
    <x v="13"/>
    <n v="40"/>
  </r>
  <r>
    <n v="357"/>
    <x v="83"/>
    <x v="25"/>
    <x v="32"/>
    <n v="366"/>
  </r>
  <r>
    <n v="468"/>
    <x v="84"/>
    <x v="3"/>
    <x v="34"/>
    <n v="678"/>
  </r>
  <r>
    <n v="798"/>
    <x v="85"/>
    <x v="16"/>
    <x v="29"/>
    <n v="703"/>
  </r>
  <r>
    <n v="497"/>
    <x v="86"/>
    <x v="19"/>
    <x v="9"/>
    <n v="180"/>
  </r>
  <r>
    <n v="841"/>
    <x v="87"/>
    <x v="9"/>
    <x v="9"/>
    <n v="214"/>
  </r>
  <r>
    <n v="521"/>
    <x v="88"/>
    <x v="12"/>
    <x v="6"/>
    <n v="408"/>
  </r>
  <r>
    <n v="2"/>
    <x v="89"/>
    <x v="2"/>
    <x v="22"/>
    <n v="902"/>
  </r>
  <r>
    <n v="637"/>
    <x v="80"/>
    <x v="14"/>
    <x v="35"/>
    <n v="763"/>
  </r>
  <r>
    <n v="407"/>
    <x v="90"/>
    <x v="4"/>
    <x v="24"/>
    <n v="168"/>
  </r>
  <r>
    <n v="87"/>
    <x v="9"/>
    <x v="4"/>
    <x v="21"/>
    <n v="723"/>
  </r>
  <r>
    <n v="894"/>
    <x v="91"/>
    <x v="14"/>
    <x v="4"/>
    <n v="438"/>
  </r>
  <r>
    <n v="708"/>
    <x v="16"/>
    <x v="14"/>
    <x v="9"/>
    <n v="162"/>
  </r>
  <r>
    <n v="311"/>
    <x v="92"/>
    <x v="9"/>
    <x v="9"/>
    <n v="246"/>
  </r>
  <r>
    <n v="888"/>
    <x v="93"/>
    <x v="19"/>
    <x v="9"/>
    <n v="105"/>
  </r>
  <r>
    <n v="678"/>
    <x v="94"/>
    <x v="22"/>
    <x v="16"/>
    <n v="308"/>
  </r>
  <r>
    <n v="734"/>
    <x v="95"/>
    <x v="15"/>
    <x v="12"/>
    <n v="172"/>
  </r>
  <r>
    <n v="640"/>
    <x v="96"/>
    <x v="14"/>
    <x v="17"/>
    <n v="775"/>
  </r>
  <r>
    <n v="189"/>
    <x v="97"/>
    <x v="24"/>
    <x v="20"/>
    <n v="333"/>
  </r>
  <r>
    <n v="685"/>
    <x v="98"/>
    <x v="7"/>
    <x v="28"/>
    <n v="548"/>
  </r>
  <r>
    <n v="617"/>
    <x v="99"/>
    <x v="21"/>
    <x v="32"/>
    <n v="665"/>
  </r>
  <r>
    <n v="508"/>
    <x v="100"/>
    <x v="19"/>
    <x v="36"/>
    <n v="305"/>
  </r>
  <r>
    <n v="406"/>
    <x v="27"/>
    <x v="17"/>
    <x v="31"/>
    <n v="938"/>
  </r>
  <r>
    <n v="132"/>
    <x v="101"/>
    <x v="18"/>
    <x v="16"/>
    <n v="714"/>
  </r>
  <r>
    <n v="785"/>
    <x v="102"/>
    <x v="0"/>
    <x v="17"/>
    <n v="251"/>
  </r>
  <r>
    <n v="113"/>
    <x v="103"/>
    <x v="20"/>
    <x v="37"/>
    <n v="330"/>
  </r>
  <r>
    <n v="951"/>
    <x v="104"/>
    <x v="0"/>
    <x v="14"/>
    <n v="69"/>
  </r>
  <r>
    <n v="169"/>
    <x v="105"/>
    <x v="11"/>
    <x v="25"/>
    <n v="969"/>
  </r>
  <r>
    <n v="984"/>
    <x v="106"/>
    <x v="11"/>
    <x v="6"/>
    <n v="974"/>
  </r>
  <r>
    <n v="881"/>
    <x v="107"/>
    <x v="16"/>
    <x v="18"/>
    <n v="526"/>
  </r>
  <r>
    <n v="883"/>
    <x v="108"/>
    <x v="7"/>
    <x v="38"/>
    <n v="510"/>
  </r>
  <r>
    <n v="735"/>
    <x v="23"/>
    <x v="5"/>
    <x v="12"/>
    <n v="444"/>
  </r>
  <r>
    <n v="120"/>
    <x v="109"/>
    <x v="2"/>
    <x v="39"/>
    <n v="503"/>
  </r>
  <r>
    <n v="92"/>
    <x v="110"/>
    <x v="24"/>
    <x v="0"/>
    <n v="109"/>
  </r>
  <r>
    <n v="618"/>
    <x v="94"/>
    <x v="16"/>
    <x v="32"/>
    <n v="823"/>
  </r>
  <r>
    <n v="768"/>
    <x v="111"/>
    <x v="2"/>
    <x v="0"/>
    <n v="147"/>
  </r>
  <r>
    <n v="619"/>
    <x v="112"/>
    <x v="5"/>
    <x v="21"/>
    <n v="625"/>
  </r>
  <r>
    <n v="393"/>
    <x v="113"/>
    <x v="16"/>
    <x v="0"/>
    <n v="695"/>
  </r>
  <r>
    <n v="127"/>
    <x v="113"/>
    <x v="15"/>
    <x v="13"/>
    <n v="983"/>
  </r>
  <r>
    <n v="329"/>
    <x v="114"/>
    <x v="23"/>
    <x v="13"/>
    <n v="82"/>
  </r>
  <r>
    <n v="839"/>
    <x v="115"/>
    <x v="15"/>
    <x v="32"/>
    <n v="397"/>
  </r>
  <r>
    <n v="787"/>
    <x v="110"/>
    <x v="13"/>
    <x v="33"/>
    <n v="599"/>
  </r>
  <r>
    <n v="658"/>
    <x v="116"/>
    <x v="16"/>
    <x v="32"/>
    <n v="306"/>
  </r>
  <r>
    <n v="302"/>
    <x v="117"/>
    <x v="23"/>
    <x v="13"/>
    <n v="536"/>
  </r>
  <r>
    <n v="959"/>
    <x v="118"/>
    <x v="10"/>
    <x v="24"/>
    <n v="20"/>
  </r>
  <r>
    <n v="467"/>
    <x v="119"/>
    <x v="5"/>
    <x v="32"/>
    <n v="515"/>
  </r>
  <r>
    <n v="642"/>
    <x v="120"/>
    <x v="5"/>
    <x v="17"/>
    <n v="332"/>
  </r>
  <r>
    <n v="472"/>
    <x v="121"/>
    <x v="3"/>
    <x v="36"/>
    <n v="127"/>
  </r>
  <r>
    <n v="700"/>
    <x v="122"/>
    <x v="8"/>
    <x v="28"/>
    <n v="958"/>
  </r>
  <r>
    <n v="305"/>
    <x v="123"/>
    <x v="18"/>
    <x v="4"/>
    <n v="42"/>
  </r>
  <r>
    <n v="676"/>
    <x v="124"/>
    <x v="6"/>
    <x v="40"/>
    <n v="977"/>
  </r>
  <r>
    <n v="602"/>
    <x v="125"/>
    <x v="22"/>
    <x v="27"/>
    <n v="460"/>
  </r>
  <r>
    <n v="175"/>
    <x v="126"/>
    <x v="10"/>
    <x v="13"/>
    <n v="659"/>
  </r>
  <r>
    <n v="679"/>
    <x v="127"/>
    <x v="19"/>
    <x v="1"/>
    <n v="197"/>
  </r>
  <r>
    <n v="412"/>
    <x v="44"/>
    <x v="5"/>
    <x v="2"/>
    <n v="540"/>
  </r>
  <r>
    <n v="486"/>
    <x v="128"/>
    <x v="19"/>
    <x v="28"/>
    <n v="178"/>
  </r>
  <r>
    <n v="899"/>
    <x v="129"/>
    <x v="15"/>
    <x v="17"/>
    <n v="202"/>
  </r>
  <r>
    <n v="123"/>
    <x v="130"/>
    <x v="10"/>
    <x v="4"/>
    <n v="632"/>
  </r>
  <r>
    <n v="180"/>
    <x v="131"/>
    <x v="10"/>
    <x v="28"/>
    <n v="25"/>
  </r>
  <r>
    <n v="433"/>
    <x v="131"/>
    <x v="3"/>
    <x v="41"/>
    <n v="990"/>
  </r>
  <r>
    <n v="244"/>
    <x v="132"/>
    <x v="3"/>
    <x v="32"/>
    <n v="913"/>
  </r>
  <r>
    <n v="147"/>
    <x v="133"/>
    <x v="14"/>
    <x v="16"/>
    <n v="371"/>
  </r>
  <r>
    <n v="634"/>
    <x v="30"/>
    <x v="5"/>
    <x v="14"/>
    <n v="514"/>
  </r>
  <r>
    <n v="999"/>
    <x v="134"/>
    <x v="13"/>
    <x v="37"/>
    <n v="707"/>
  </r>
  <r>
    <n v="477"/>
    <x v="135"/>
    <x v="13"/>
    <x v="36"/>
    <n v="473"/>
  </r>
  <r>
    <n v="746"/>
    <x v="136"/>
    <x v="21"/>
    <x v="32"/>
    <n v="847"/>
  </r>
  <r>
    <n v="287"/>
    <x v="137"/>
    <x v="19"/>
    <x v="42"/>
    <n v="815"/>
  </r>
  <r>
    <n v="310"/>
    <x v="138"/>
    <x v="25"/>
    <x v="13"/>
    <n v="928"/>
  </r>
  <r>
    <n v="889"/>
    <x v="139"/>
    <x v="3"/>
    <x v="15"/>
    <n v="210"/>
  </r>
  <r>
    <n v="512"/>
    <x v="140"/>
    <x v="20"/>
    <x v="5"/>
    <n v="793"/>
  </r>
  <r>
    <n v="693"/>
    <x v="141"/>
    <x v="4"/>
    <x v="31"/>
    <n v="872"/>
  </r>
  <r>
    <n v="670"/>
    <x v="142"/>
    <x v="10"/>
    <x v="25"/>
    <n v="298"/>
  </r>
  <r>
    <n v="238"/>
    <x v="143"/>
    <x v="6"/>
    <x v="5"/>
    <n v="941"/>
  </r>
  <r>
    <n v="400"/>
    <x v="144"/>
    <x v="6"/>
    <x v="43"/>
    <n v="731"/>
  </r>
  <r>
    <n v="398"/>
    <x v="145"/>
    <x v="23"/>
    <x v="4"/>
    <n v="500"/>
  </r>
  <r>
    <n v="955"/>
    <x v="146"/>
    <x v="19"/>
    <x v="32"/>
    <n v="142"/>
  </r>
  <r>
    <n v="193"/>
    <x v="147"/>
    <x v="3"/>
    <x v="17"/>
    <n v="787"/>
  </r>
  <r>
    <n v="33"/>
    <x v="148"/>
    <x v="21"/>
    <x v="1"/>
    <n v="749"/>
  </r>
  <r>
    <n v="786"/>
    <x v="130"/>
    <x v="17"/>
    <x v="2"/>
    <n v="304"/>
  </r>
  <r>
    <n v="811"/>
    <x v="149"/>
    <x v="2"/>
    <x v="9"/>
    <n v="30"/>
  </r>
  <r>
    <n v="615"/>
    <x v="150"/>
    <x v="19"/>
    <x v="16"/>
    <n v="477"/>
  </r>
  <r>
    <n v="18"/>
    <x v="151"/>
    <x v="5"/>
    <x v="29"/>
    <n v="52"/>
  </r>
  <r>
    <n v="114"/>
    <x v="152"/>
    <x v="3"/>
    <x v="33"/>
    <n v="73"/>
  </r>
  <r>
    <n v="340"/>
    <x v="153"/>
    <x v="20"/>
    <x v="4"/>
    <n v="691"/>
  </r>
  <r>
    <n v="649"/>
    <x v="154"/>
    <x v="1"/>
    <x v="30"/>
    <n v="786"/>
  </r>
  <r>
    <n v="778"/>
    <x v="155"/>
    <x v="0"/>
    <x v="0"/>
    <n v="68"/>
  </r>
  <r>
    <n v="885"/>
    <x v="25"/>
    <x v="11"/>
    <x v="18"/>
    <n v="630"/>
  </r>
  <r>
    <n v="69"/>
    <x v="156"/>
    <x v="0"/>
    <x v="10"/>
    <n v="357"/>
  </r>
  <r>
    <n v="288"/>
    <x v="157"/>
    <x v="12"/>
    <x v="7"/>
    <n v="455"/>
  </r>
  <r>
    <n v="898"/>
    <x v="158"/>
    <x v="13"/>
    <x v="25"/>
    <n v="947"/>
  </r>
  <r>
    <n v="473"/>
    <x v="159"/>
    <x v="14"/>
    <x v="25"/>
    <n v="589"/>
  </r>
  <r>
    <n v="23"/>
    <x v="160"/>
    <x v="9"/>
    <x v="0"/>
    <n v="863"/>
  </r>
  <r>
    <n v="505"/>
    <x v="161"/>
    <x v="7"/>
    <x v="19"/>
    <n v="668"/>
  </r>
  <r>
    <n v="401"/>
    <x v="162"/>
    <x v="2"/>
    <x v="14"/>
    <n v="206"/>
  </r>
  <r>
    <n v="988"/>
    <x v="163"/>
    <x v="8"/>
    <x v="44"/>
    <n v="835"/>
  </r>
  <r>
    <n v="493"/>
    <x v="164"/>
    <x v="2"/>
    <x v="11"/>
    <n v="315"/>
  </r>
  <r>
    <n v="432"/>
    <x v="165"/>
    <x v="1"/>
    <x v="6"/>
    <n v="553"/>
  </r>
  <r>
    <n v="948"/>
    <x v="119"/>
    <x v="1"/>
    <x v="32"/>
    <n v="861"/>
  </r>
  <r>
    <n v="821"/>
    <x v="166"/>
    <x v="12"/>
    <x v="32"/>
    <n v="279"/>
  </r>
  <r>
    <n v="435"/>
    <x v="167"/>
    <x v="16"/>
    <x v="2"/>
    <n v="75"/>
  </r>
  <r>
    <n v="11"/>
    <x v="168"/>
    <x v="15"/>
    <x v="45"/>
    <n v="895"/>
  </r>
  <r>
    <n v="204"/>
    <x v="169"/>
    <x v="20"/>
    <x v="0"/>
    <n v="866"/>
  </r>
  <r>
    <n v="332"/>
    <x v="170"/>
    <x v="6"/>
    <x v="18"/>
    <n v="792"/>
  </r>
  <r>
    <n v="179"/>
    <x v="79"/>
    <x v="11"/>
    <x v="0"/>
    <n v="191"/>
  </r>
  <r>
    <n v="503"/>
    <x v="171"/>
    <x v="20"/>
    <x v="20"/>
    <n v="59"/>
  </r>
  <r>
    <n v="431"/>
    <x v="129"/>
    <x v="24"/>
    <x v="1"/>
    <n v="748"/>
  </r>
  <r>
    <n v="865"/>
    <x v="172"/>
    <x v="20"/>
    <x v="40"/>
    <n v="693"/>
  </r>
  <r>
    <n v="874"/>
    <x v="173"/>
    <x v="13"/>
    <x v="11"/>
    <n v="955"/>
  </r>
  <r>
    <n v="513"/>
    <x v="174"/>
    <x v="17"/>
    <x v="17"/>
    <n v="538"/>
  </r>
  <r>
    <n v="814"/>
    <x v="95"/>
    <x v="26"/>
    <x v="5"/>
    <n v="169"/>
  </r>
  <r>
    <n v="236"/>
    <x v="75"/>
    <x v="19"/>
    <x v="0"/>
    <n v="924"/>
  </r>
  <r>
    <n v="957"/>
    <x v="175"/>
    <x v="13"/>
    <x v="13"/>
    <n v="57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690"/>
    <n v="230"/>
    <s v="Healthcare"/>
    <x v="0"/>
    <s v="Regular"/>
    <n v="553"/>
    <n v="1210"/>
    <s v="1800 Block of 26TH ST"/>
    <s v="1200 Block of JACKSON ST"/>
    <x v="0"/>
    <d v="2014-04-28T00:00:00"/>
    <d v="2014-12-18T00:00:00"/>
    <n v="0.45700000000000002"/>
    <n v="234"/>
  </r>
  <r>
    <n v="933"/>
    <n v="3189"/>
    <s v="Healthcare"/>
    <x v="1"/>
    <s v="Express"/>
    <n v="810"/>
    <n v="1114"/>
    <s v="2600 Block of ALEMANY BL"/>
    <s v="700 Block of HAMPSHIRE ST"/>
    <x v="0"/>
    <d v="1997-06-14T00:00:00"/>
    <d v="1997-07-10T00:00:00"/>
    <n v="0.72709999999999997"/>
    <n v="26"/>
  </r>
  <r>
    <n v="261"/>
    <n v="2216"/>
    <s v="Luggage"/>
    <x v="0"/>
    <s v="Express"/>
    <n v="994"/>
    <n v="1020"/>
    <s v="BARTLETT ST / 23RD ST"/>
    <s v="500 Block of HAIGHT ST"/>
    <x v="1"/>
    <d v="1993-08-14T00:00:00"/>
    <m/>
    <n v="0.97450000000000003"/>
    <s v=""/>
  </r>
  <r>
    <n v="445"/>
    <n v="1904"/>
    <s v="Home Furnishing"/>
    <x v="0"/>
    <s v="Express"/>
    <n v="598"/>
    <n v="1351"/>
    <s v="1300 Block of 7TH AV"/>
    <s v="300 Block of 9TH ST"/>
    <x v="1"/>
    <d v="2019-12-13T00:00:00"/>
    <m/>
    <n v="0.44259999999999999"/>
    <s v=""/>
  </r>
  <r>
    <n v="722"/>
    <n v="7342"/>
    <s v="Electronics"/>
    <x v="1"/>
    <s v="Express"/>
    <n v="412"/>
    <n v="566"/>
    <s v="0 Block of EUREKA ST"/>
    <s v="1800 Block of VANNESS AV"/>
    <x v="1"/>
    <d v="1996-09-21T00:00:00"/>
    <m/>
    <n v="0.72789999999999999"/>
    <s v=""/>
  </r>
  <r>
    <n v="129"/>
    <n v="7633"/>
    <s v="Food and Beverages"/>
    <x v="0"/>
    <s v="Regular"/>
    <n v="379"/>
    <n v="590"/>
    <s v="700 Block of VANNESS AV"/>
    <s v="500 Block of LEAVENWORTH ST"/>
    <x v="0"/>
    <d v="1971-04-23T00:00:00"/>
    <d v="1971-11-01T00:00:00"/>
    <n v="0.64239999999999997"/>
    <n v="192"/>
  </r>
  <r>
    <n v="489"/>
    <n v="2154"/>
    <s v="Fashion"/>
    <x v="0"/>
    <s v="Regular"/>
    <n v="892"/>
    <n v="1407"/>
    <s v="200 Block of BERRY ST"/>
    <s v="CARROLL AV / JENNINGS ST"/>
    <x v="1"/>
    <d v="2005-12-21T00:00:00"/>
    <m/>
    <n v="0.63400000000000001"/>
    <s v=""/>
  </r>
  <r>
    <n v="165"/>
    <n v="5543"/>
    <s v="Industrial Equipments"/>
    <x v="0"/>
    <s v="Regular"/>
    <n v="347"/>
    <n v="786"/>
    <s v="1100 Block of FRANCISCO ST"/>
    <s v="1000 Block of MARKET ST"/>
    <x v="1"/>
    <d v="1979-07-03T00:00:00"/>
    <m/>
    <n v="0.4415"/>
    <s v=""/>
  </r>
  <r>
    <n v="164"/>
    <n v="2332"/>
    <s v="Hazardous Goods"/>
    <x v="1"/>
    <s v="Express"/>
    <n v="457"/>
    <n v="855"/>
    <s v="100 Block of NEWMONTGOMERY ST"/>
    <s v="600 Block of SOUTH VAN NESS AV"/>
    <x v="1"/>
    <d v="1976-04-29T00:00:00"/>
    <m/>
    <n v="0.53449999999999998"/>
    <s v=""/>
  </r>
  <r>
    <n v="364"/>
    <n v="4094"/>
    <s v="Automotive"/>
    <x v="1"/>
    <s v="Express"/>
    <n v="957"/>
    <n v="1182"/>
    <s v="200 Block of SCOTT ST"/>
    <s v="2600 Block of MISSION ST"/>
    <x v="1"/>
    <d v="2012-03-03T00:00:00"/>
    <m/>
    <n v="0.80959999999999999"/>
    <s v=""/>
  </r>
  <r>
    <n v="469"/>
    <n v="3042"/>
    <s v="Electronics"/>
    <x v="1"/>
    <s v="Regular"/>
    <n v="23"/>
    <n v="25"/>
    <s v="BELVEDERE ST / WALLER ST"/>
    <s v="0 Block of CEDAR ST"/>
    <x v="0"/>
    <d v="1991-02-18T00:00:00"/>
    <d v="1991-05-15T00:00:00"/>
    <n v="0.92"/>
    <n v="86"/>
  </r>
  <r>
    <n v="158"/>
    <n v="2220"/>
    <s v="Healthcare"/>
    <x v="0"/>
    <s v="Express"/>
    <n v="479"/>
    <n v="861"/>
    <s v="800 Block of BRYANT ST"/>
    <s v="500 Block of FREDERICK ST"/>
    <x v="0"/>
    <d v="1976-03-31T00:00:00"/>
    <d v="1976-06-30T00:00:00"/>
    <n v="0.55630000000000002"/>
    <n v="91"/>
  </r>
  <r>
    <n v="337"/>
    <n v="4988"/>
    <s v="Electronics"/>
    <x v="0"/>
    <s v="Express"/>
    <n v="305"/>
    <n v="834"/>
    <s v="1300 Block of CALIFORNIA ST"/>
    <s v="0 Block of RAUSCH ST"/>
    <x v="1"/>
    <d v="1976-05-11T00:00:00"/>
    <m/>
    <n v="0.36570000000000003"/>
    <s v=""/>
  </r>
  <r>
    <n v="634"/>
    <n v="175"/>
    <s v="Healthcare"/>
    <x v="1"/>
    <s v="Express"/>
    <n v="939"/>
    <n v="1446"/>
    <s v="300 Block of CHENERY ST"/>
    <s v="BUSH ST / BUCHANAN ST"/>
    <x v="1"/>
    <d v="1980-10-07T00:00:00"/>
    <m/>
    <n v="0.64939999999999998"/>
    <s v=""/>
  </r>
  <r>
    <n v="577"/>
    <n v="4233"/>
    <s v="Fashion"/>
    <x v="0"/>
    <s v="Regular"/>
    <n v="679"/>
    <n v="1455"/>
    <s v="2600 Block of 18TH ST"/>
    <s v="800 Block of BRYANT ST"/>
    <x v="0"/>
    <d v="1987-03-19T00:00:00"/>
    <d v="1987-08-09T00:00:00"/>
    <n v="0.4667"/>
    <n v="143"/>
  </r>
  <r>
    <n v="907"/>
    <n v="4351"/>
    <s v="Electronics"/>
    <x v="1"/>
    <s v="Express"/>
    <n v="803"/>
    <n v="1020"/>
    <s v="800 Block of 30TH AV"/>
    <s v="1100 Block of MARKET ST"/>
    <x v="1"/>
    <d v="2013-07-23T00:00:00"/>
    <m/>
    <n v="0.7873"/>
    <s v=""/>
  </r>
  <r>
    <n v="870"/>
    <n v="5578"/>
    <s v="Construction"/>
    <x v="0"/>
    <s v="Regular"/>
    <n v="783"/>
    <n v="1042"/>
    <s v="800 Block of GENEVA AV"/>
    <s v="300 Block of 4TH ST"/>
    <x v="1"/>
    <d v="2010-03-02T00:00:00"/>
    <m/>
    <n v="0.75139999999999996"/>
    <s v=""/>
  </r>
  <r>
    <n v="982"/>
    <n v="4523"/>
    <s v="Industrial Equipments"/>
    <x v="0"/>
    <s v="Regular"/>
    <n v="432"/>
    <n v="915"/>
    <s v="800 Block of BRYANT ST"/>
    <s v="100 Block of TOWNSEND ST"/>
    <x v="1"/>
    <d v="2017-10-17T00:00:00"/>
    <m/>
    <n v="0.47210000000000002"/>
    <s v=""/>
  </r>
  <r>
    <n v="351"/>
    <n v="2972"/>
    <s v="Industrial Equipments"/>
    <x v="0"/>
    <s v="Regular"/>
    <n v="776"/>
    <n v="1053"/>
    <s v="15TH ST / SANCHEZ ST"/>
    <s v="1700 Block of FULTON ST"/>
    <x v="0"/>
    <d v="1977-01-03T00:00:00"/>
    <d v="1977-07-06T00:00:00"/>
    <n v="0.7369"/>
    <n v="184"/>
  </r>
  <r>
    <n v="328"/>
    <n v="6153"/>
    <s v="Healthcare"/>
    <x v="0"/>
    <s v="Express"/>
    <n v="710"/>
    <n v="1066"/>
    <s v="900 Block of ELLSWORTH ST"/>
    <s v="400 Block of 28TH ST"/>
    <x v="0"/>
    <d v="1997-01-20T00:00:00"/>
    <d v="1997-09-08T00:00:00"/>
    <n v="0.66600000000000004"/>
    <n v="231"/>
  </r>
  <r>
    <n v="242"/>
    <n v="4852"/>
    <s v="Construction"/>
    <x v="0"/>
    <s v="Regular"/>
    <n v="959"/>
    <n v="1253"/>
    <s v="600 Block of FRANCISCO ST"/>
    <s v="FELL ST / MASONIC AV"/>
    <x v="1"/>
    <d v="1996-12-09T00:00:00"/>
    <m/>
    <n v="0.76539999999999997"/>
    <s v=""/>
  </r>
  <r>
    <n v="421"/>
    <n v="8106"/>
    <s v="Automotive"/>
    <x v="1"/>
    <s v="Regular"/>
    <n v="147"/>
    <n v="535"/>
    <s v="800 Block of BRYANT ST"/>
    <s v="900 Block of RANDOLPH ST"/>
    <x v="0"/>
    <d v="1999-02-07T00:00:00"/>
    <d v="1999-03-05T00:00:00"/>
    <n v="0.27479999999999999"/>
    <n v="26"/>
  </r>
  <r>
    <n v="6"/>
    <n v="3917"/>
    <s v="Arts and crafts"/>
    <x v="1"/>
    <s v="Express"/>
    <n v="613"/>
    <n v="1256"/>
    <s v="800 Block of BRYANT ST"/>
    <s v="0 Block of 6TH ST"/>
    <x v="0"/>
    <d v="1977-03-08T00:00:00"/>
    <d v="1977-11-08T00:00:00"/>
    <n v="0.48809999999999998"/>
    <n v="245"/>
  </r>
  <r>
    <n v="384"/>
    <n v="9377"/>
    <s v="Luggage"/>
    <x v="0"/>
    <s v="Regular"/>
    <n v="590"/>
    <n v="1033"/>
    <s v="ELLIS ST / LAGUNA ST"/>
    <s v="0 Block of HYDE ST"/>
    <x v="1"/>
    <d v="1972-02-21T00:00:00"/>
    <m/>
    <n v="0.57120000000000004"/>
    <s v=""/>
  </r>
  <r>
    <n v="286"/>
    <n v="5387"/>
    <s v="Electronics"/>
    <x v="0"/>
    <s v="Regular"/>
    <n v="193"/>
    <n v="817"/>
    <s v="100 Block of STEUART ST"/>
    <s v="900 Block of VALENCIA ST"/>
    <x v="0"/>
    <d v="2005-06-06T00:00:00"/>
    <d v="2005-09-15T00:00:00"/>
    <n v="0.23619999999999999"/>
    <n v="101"/>
  </r>
  <r>
    <n v="892"/>
    <n v="6513"/>
    <s v="Luggage"/>
    <x v="0"/>
    <s v="Regular"/>
    <n v="879"/>
    <n v="1037"/>
    <s v="700 Block of FOLSOM ST"/>
    <s v="300 Block of ARBALLO DR"/>
    <x v="0"/>
    <d v="2019-11-17T00:00:00"/>
    <d v="2019-12-12T00:00:00"/>
    <n v="0.84760000000000002"/>
    <n v="25"/>
  </r>
  <r>
    <n v="558"/>
    <n v="3965"/>
    <s v="Industrial Equipments"/>
    <x v="0"/>
    <s v="Regular"/>
    <n v="275"/>
    <n v="951"/>
    <s v="1600 Block of VANNESS AV"/>
    <s v="100 Block of PHELAN AV"/>
    <x v="0"/>
    <d v="2013-10-27T00:00:00"/>
    <d v="2013-11-15T00:00:00"/>
    <n v="0.28920000000000001"/>
    <n v="19"/>
  </r>
  <r>
    <n v="481"/>
    <n v="8893"/>
    <s v="Construction"/>
    <x v="1"/>
    <s v="Regular"/>
    <n v="319"/>
    <n v="770"/>
    <s v="800 Block of MARKET ST"/>
    <s v="0 Block of GORDON ST"/>
    <x v="1"/>
    <d v="2006-07-11T00:00:00"/>
    <m/>
    <n v="0.4143"/>
    <s v=""/>
  </r>
  <r>
    <n v="155"/>
    <n v="1897"/>
    <s v="Hazardous Goods"/>
    <x v="0"/>
    <s v="Express"/>
    <n v="52"/>
    <n v="293"/>
    <s v="800 Block of BRYANT ST"/>
    <s v="600 Block of VALENCIA ST"/>
    <x v="1"/>
    <d v="2003-09-23T00:00:00"/>
    <m/>
    <n v="0.17749999999999999"/>
    <s v=""/>
  </r>
  <r>
    <n v="771"/>
    <n v="390"/>
    <s v="Electronics"/>
    <x v="0"/>
    <s v="Regular"/>
    <n v="702"/>
    <n v="1414"/>
    <s v="SHOTWELL ST / 17TH ST"/>
    <s v="EDDY ST / HYDE ST"/>
    <x v="0"/>
    <d v="2013-05-03T00:00:00"/>
    <d v="2013-11-15T00:00:00"/>
    <n v="0.4965"/>
    <n v="196"/>
  </r>
  <r>
    <n v="945"/>
    <n v="3633"/>
    <s v="Healthcare"/>
    <x v="0"/>
    <s v="Express"/>
    <n v="299"/>
    <n v="524"/>
    <s v="1500 Block of BAKER ST"/>
    <s v="LIPPARD AV / BOSWORTH ST"/>
    <x v="0"/>
    <d v="2001-04-29T00:00:00"/>
    <d v="2001-08-10T00:00:00"/>
    <n v="0.5706"/>
    <n v="103"/>
  </r>
  <r>
    <n v="719"/>
    <n v="7828"/>
    <s v="Arts and crafts"/>
    <x v="0"/>
    <s v="Regular"/>
    <n v="930"/>
    <n v="1183"/>
    <s v="100 Block of BERRY ST"/>
    <s v="KERN ST / DIAMOND ST"/>
    <x v="0"/>
    <d v="2006-01-22T00:00:00"/>
    <d v="2006-07-17T00:00:00"/>
    <n v="0.78610000000000002"/>
    <n v="176"/>
  </r>
  <r>
    <n v="493"/>
    <n v="2241"/>
    <s v="Home Furnishing"/>
    <x v="0"/>
    <s v="Regular"/>
    <n v="314"/>
    <n v="566"/>
    <s v="700 Block of HOWARD ST"/>
    <s v="HARRISON ST / 3RD ST"/>
    <x v="1"/>
    <d v="1995-08-20T00:00:00"/>
    <m/>
    <n v="0.55479999999999996"/>
    <s v=""/>
  </r>
  <r>
    <n v="998"/>
    <n v="896"/>
    <s v="Hazardous Goods"/>
    <x v="1"/>
    <s v="Express"/>
    <n v="109"/>
    <n v="961"/>
    <s v="0 Block of LEE AV"/>
    <s v="0 Block of FALLON PL"/>
    <x v="0"/>
    <d v="2013-11-21T00:00:00"/>
    <d v="2013-11-15T00:00:00"/>
    <n v="0.1134"/>
    <n v="-6"/>
  </r>
  <r>
    <n v="968"/>
    <n v="6361"/>
    <s v="Food and Beverages"/>
    <x v="0"/>
    <s v="Regular"/>
    <n v="24"/>
    <n v="54"/>
    <s v="STOCKTON ST / BROADWAY ST"/>
    <s v="900 Block of GEARY ST"/>
    <x v="0"/>
    <d v="1993-01-04T00:00:00"/>
    <d v="1993-08-02T00:00:00"/>
    <n v="0.44440000000000002"/>
    <n v="210"/>
  </r>
  <r>
    <n v="738"/>
    <n v="6713"/>
    <s v="Electronics"/>
    <x v="0"/>
    <s v="Express"/>
    <n v="545"/>
    <n v="1044"/>
    <s v="LAKE MERCED BL / BROTHERHOOD WAY"/>
    <s v="HARRISON ST / THE EMBARCADEROSOUTH ST"/>
    <x v="1"/>
    <d v="1977-09-19T00:00:00"/>
    <m/>
    <n v="0.52200000000000002"/>
    <s v=""/>
  </r>
  <r>
    <n v="912"/>
    <n v="4283"/>
    <s v="Fashion"/>
    <x v="1"/>
    <s v="Regular"/>
    <n v="505"/>
    <n v="1082"/>
    <s v="GEARY ST / POLK ST"/>
    <s v="1600 Block of LASALLE AV"/>
    <x v="1"/>
    <d v="2019-12-30T00:00:00"/>
    <m/>
    <n v="0.4667"/>
    <s v=""/>
  </r>
  <r>
    <n v="782"/>
    <n v="9486"/>
    <s v="Electronics"/>
    <x v="1"/>
    <s v="Regular"/>
    <n v="182"/>
    <n v="871"/>
    <s v="1400 Block of DOUGLASS ST"/>
    <s v="48TH AV / JUDAH ST"/>
    <x v="0"/>
    <d v="2002-08-31T00:00:00"/>
    <d v="2002-10-20T00:00:00"/>
    <n v="0.20899999999999999"/>
    <n v="50"/>
  </r>
  <r>
    <n v="140"/>
    <n v="308"/>
    <s v="Luggage"/>
    <x v="1"/>
    <s v="Regular"/>
    <n v="226"/>
    <n v="970"/>
    <s v="100 Block of FONT BL"/>
    <s v="1000 Block of KEY AV"/>
    <x v="0"/>
    <d v="2006-06-10T00:00:00"/>
    <d v="2006-07-17T00:00:00"/>
    <n v="0.23300000000000001"/>
    <n v="37"/>
  </r>
  <r>
    <n v="702"/>
    <n v="8927"/>
    <s v="Home Furnishing"/>
    <x v="1"/>
    <s v="Regular"/>
    <n v="111"/>
    <n v="617"/>
    <s v="HOLLOWAY AV / BRIGHTON AV"/>
    <s v="TAYLOR ST / GOLDEN GATE AV"/>
    <x v="0"/>
    <d v="2004-07-07T00:00:00"/>
    <d v="2004-11-20T00:00:00"/>
    <n v="0.1799"/>
    <n v="136"/>
  </r>
  <r>
    <n v="284"/>
    <n v="249"/>
    <s v="Hazardous Goods"/>
    <x v="1"/>
    <s v="Express"/>
    <n v="145"/>
    <n v="814"/>
    <s v="1800 Block of KIRKHAM ST"/>
    <s v="800 Block of BRYANT ST"/>
    <x v="0"/>
    <d v="1982-02-06T00:00:00"/>
    <d v="1982-03-08T00:00:00"/>
    <n v="0.17810000000000001"/>
    <n v="30"/>
  </r>
  <r>
    <n v="199"/>
    <n v="2620"/>
    <s v="Electronics"/>
    <x v="0"/>
    <s v="Regular"/>
    <n v="829"/>
    <n v="1145"/>
    <s v="500 Block of TUNNEL AV"/>
    <s v="1600 Block of TURK ST"/>
    <x v="1"/>
    <d v="2007-07-27T00:00:00"/>
    <m/>
    <n v="0.72399999999999998"/>
    <s v=""/>
  </r>
  <r>
    <n v="228"/>
    <n v="1164"/>
    <s v="Electronics"/>
    <x v="0"/>
    <s v="Regular"/>
    <n v="269"/>
    <n v="902"/>
    <s v="800 Block of BRYANT ST"/>
    <s v="100 Block of SPEAR ST"/>
    <x v="0"/>
    <d v="1994-03-30T00:00:00"/>
    <d v="1994-04-09T00:00:00"/>
    <n v="0.29820000000000002"/>
    <n v="10"/>
  </r>
  <r>
    <n v="908"/>
    <n v="4711"/>
    <s v="Hazardous Goods"/>
    <x v="1"/>
    <s v="Regular"/>
    <n v="660"/>
    <n v="1470"/>
    <s v="200 Block of CHENERY ST"/>
    <s v="2900 Block of DIAMOND ST"/>
    <x v="1"/>
    <d v="1999-01-28T00:00:00"/>
    <m/>
    <n v="0.44900000000000001"/>
    <s v=""/>
  </r>
  <r>
    <n v="594"/>
    <n v="4053"/>
    <s v="Home Furnishing"/>
    <x v="0"/>
    <s v="Regular"/>
    <n v="484"/>
    <n v="568"/>
    <s v="1000 Block of POTRERO AV"/>
    <s v="400 Block of ROLPH ST"/>
    <x v="1"/>
    <d v="2004-03-20T00:00:00"/>
    <m/>
    <n v="0.85209999999999997"/>
    <s v=""/>
  </r>
  <r>
    <n v="542"/>
    <n v="4272"/>
    <s v="Food and Beverages"/>
    <x v="1"/>
    <s v="Regular"/>
    <n v="100"/>
    <n v="487"/>
    <s v="100 Block of HYDE ST"/>
    <s v="BANCROFT AV / KEITH ST"/>
    <x v="1"/>
    <d v="1986-05-19T00:00:00"/>
    <m/>
    <n v="0.20530000000000001"/>
    <s v=""/>
  </r>
  <r>
    <n v="586"/>
    <n v="7005"/>
    <s v="Construction"/>
    <x v="0"/>
    <s v="Express"/>
    <n v="711"/>
    <n v="1197"/>
    <s v="1100 Block of HUDSON AV"/>
    <s v="MYRTLE ST / LARKIN ST"/>
    <x v="1"/>
    <d v="1977-03-08T00:00:00"/>
    <m/>
    <n v="0.59399999999999997"/>
    <s v=""/>
  </r>
  <r>
    <n v="636"/>
    <n v="2308"/>
    <s v="Home Furnishing"/>
    <x v="1"/>
    <s v="Regular"/>
    <n v="325"/>
    <n v="994"/>
    <s v="STOCKTON ST / POST ST"/>
    <s v="500 Block of MAGELLAN AV"/>
    <x v="0"/>
    <d v="2008-02-24T00:00:00"/>
    <d v="2008-08-09T00:00:00"/>
    <n v="0.32700000000000001"/>
    <n v="167"/>
  </r>
  <r>
    <n v="581"/>
    <n v="5150"/>
    <s v="Automotive"/>
    <x v="0"/>
    <s v="Regular"/>
    <n v="209"/>
    <n v="933"/>
    <s v="LEAVENWORTH ST / TURK ST"/>
    <s v="1600 Block of 38TH AV"/>
    <x v="1"/>
    <d v="2017-11-24T00:00:00"/>
    <m/>
    <n v="0.224"/>
    <s v=""/>
  </r>
  <r>
    <n v="336"/>
    <n v="693"/>
    <s v="Construction"/>
    <x v="1"/>
    <s v="Express"/>
    <n v="996"/>
    <n v="1168"/>
    <s v="800 Block of BRYANT ST"/>
    <s v="3300 Block of MISSION ST"/>
    <x v="1"/>
    <d v="1972-10-09T00:00:00"/>
    <m/>
    <n v="0.85270000000000001"/>
    <s v=""/>
  </r>
  <r>
    <n v="504"/>
    <n v="9598"/>
    <s v="Luggage"/>
    <x v="1"/>
    <s v="Regular"/>
    <n v="420"/>
    <n v="561"/>
    <s v="4200 Block of 26TH ST"/>
    <s v="0 Block of TURK ST"/>
    <x v="0"/>
    <d v="1982-07-11T00:00:00"/>
    <d v="1982-10-15T00:00:00"/>
    <n v="0.74870000000000003"/>
    <n v="96"/>
  </r>
  <r>
    <n v="346"/>
    <n v="8103"/>
    <s v="Industrial Equipments"/>
    <x v="1"/>
    <s v="Express"/>
    <n v="182"/>
    <n v="850"/>
    <s v="BLAKE ST / GEARY BL"/>
    <s v="BROADWAY ST / COLUMBUS AV"/>
    <x v="0"/>
    <d v="2007-06-05T00:00:00"/>
    <d v="2007-07-12T00:00:00"/>
    <n v="0.21410000000000001"/>
    <n v="37"/>
  </r>
  <r>
    <n v="135"/>
    <n v="8894"/>
    <s v="Construction"/>
    <x v="0"/>
    <s v="Express"/>
    <n v="901"/>
    <n v="1393"/>
    <s v="WASHINGTON ST / DRUMM ST"/>
    <s v="1200 Block of PINE ST"/>
    <x v="1"/>
    <d v="2004-09-10T00:00:00"/>
    <m/>
    <n v="0.64680000000000004"/>
    <s v=""/>
  </r>
  <r>
    <n v="822"/>
    <n v="114"/>
    <s v="Construction"/>
    <x v="1"/>
    <s v="Regular"/>
    <n v="88"/>
    <n v="426"/>
    <s v="EXECUTIVEPARK BL / ALANA WY"/>
    <s v="900 Block of MISSION ST"/>
    <x v="0"/>
    <d v="1991-06-30T00:00:00"/>
    <d v="1991-07-15T00:00:00"/>
    <n v="0.20660000000000001"/>
    <n v="15"/>
  </r>
  <r>
    <n v="95"/>
    <n v="6546"/>
    <s v="Electronics"/>
    <x v="0"/>
    <s v="Regular"/>
    <n v="660"/>
    <n v="1208"/>
    <s v="0 Block of BROOKDALE AV"/>
    <s v="1300 Block of EGBERT AV"/>
    <x v="1"/>
    <d v="2013-04-11T00:00:00"/>
    <m/>
    <n v="0.5464"/>
    <s v=""/>
  </r>
  <r>
    <n v="597"/>
    <n v="3571"/>
    <s v="Luggage"/>
    <x v="0"/>
    <s v="Regular"/>
    <n v="267"/>
    <n v="925"/>
    <s v="3600 Block of 22ND ST"/>
    <s v="200 Block of NAGLEE AV"/>
    <x v="1"/>
    <d v="2010-07-26T00:00:00"/>
    <m/>
    <n v="0.28860000000000002"/>
    <s v=""/>
  </r>
  <r>
    <n v="340"/>
    <n v="7316"/>
    <s v="Fashion"/>
    <x v="1"/>
    <s v="Express"/>
    <n v="905"/>
    <n v="1392"/>
    <s v="700 Block of 3RD ST"/>
    <s v="FRANCISCO ST / JONES ST"/>
    <x v="1"/>
    <d v="1981-11-03T00:00:00"/>
    <m/>
    <n v="0.65010000000000001"/>
    <s v=""/>
  </r>
  <r>
    <n v="905"/>
    <n v="2478"/>
    <s v="Luggage"/>
    <x v="0"/>
    <s v="Express"/>
    <n v="799"/>
    <n v="1425"/>
    <s v="1700 Block of 25TH ST"/>
    <s v="1300 Block of BROADWAY ST"/>
    <x v="0"/>
    <d v="1983-04-11T00:00:00"/>
    <d v="1983-09-30T00:00:00"/>
    <n v="0.56069999999999998"/>
    <n v="172"/>
  </r>
  <r>
    <n v="250"/>
    <n v="1215"/>
    <s v="Construction"/>
    <x v="1"/>
    <s v="Express"/>
    <n v="773"/>
    <n v="1225"/>
    <s v="1200 Block of POLK ST"/>
    <s v="1200 Block of MARKET ST"/>
    <x v="0"/>
    <d v="2006-09-18T00:00:00"/>
    <d v="2006-10-22T00:00:00"/>
    <n v="0.63100000000000001"/>
    <n v="34"/>
  </r>
  <r>
    <n v="400"/>
    <n v="5402"/>
    <s v="Luggage"/>
    <x v="0"/>
    <s v="Express"/>
    <n v="78"/>
    <n v="403"/>
    <s v="EARL ST / LASALLE AV"/>
    <s v="1400 Block of KIRKWOOD CT"/>
    <x v="1"/>
    <d v="2003-01-07T00:00:00"/>
    <m/>
    <n v="0.19350000000000001"/>
    <s v=""/>
  </r>
  <r>
    <n v="877"/>
    <n v="1647"/>
    <s v="Industrial Equipments"/>
    <x v="0"/>
    <s v="Express"/>
    <n v="791"/>
    <n v="1169"/>
    <s v="CLARA ST / 4TH ST"/>
    <s v="100 Block of ATOLL CR"/>
    <x v="0"/>
    <d v="2000-01-25T00:00:00"/>
    <d v="2000-03-22T00:00:00"/>
    <n v="0.67659999999999998"/>
    <n v="57"/>
  </r>
  <r>
    <n v="97"/>
    <n v="9423"/>
    <s v="Construction"/>
    <x v="0"/>
    <s v="Express"/>
    <n v="603"/>
    <n v="1167"/>
    <s v="0 Block of STEINER ST"/>
    <s v="1100 Block of FRANCISCO ST"/>
    <x v="1"/>
    <d v="2011-05-25T00:00:00"/>
    <m/>
    <n v="0.51670000000000005"/>
    <s v=""/>
  </r>
  <r>
    <n v="12"/>
    <n v="6404"/>
    <s v="Construction"/>
    <x v="0"/>
    <s v="Regular"/>
    <n v="360"/>
    <n v="565"/>
    <s v="1800 Block of 8TH AV"/>
    <s v="JONES ST / GOLDEN GATE AV"/>
    <x v="1"/>
    <d v="2000-06-18T00:00:00"/>
    <m/>
    <n v="0.63719999999999999"/>
    <s v=""/>
  </r>
  <r>
    <n v="353"/>
    <n v="6767"/>
    <s v="Fashion"/>
    <x v="0"/>
    <s v="Express"/>
    <n v="84"/>
    <n v="354"/>
    <s v="HARRISON ST / 11TH ST"/>
    <s v="BROADWAY ST / KEARNY ST"/>
    <x v="0"/>
    <d v="2012-08-02T00:00:00"/>
    <d v="2012-10-04T00:00:00"/>
    <n v="0.23730000000000001"/>
    <n v="63"/>
  </r>
  <r>
    <n v="856"/>
    <n v="1278"/>
    <s v="Automotive"/>
    <x v="0"/>
    <s v="Regular"/>
    <n v="880"/>
    <n v="1178"/>
    <s v="500 Block of HYDE ST"/>
    <s v="400 Block of CAPP ST"/>
    <x v="0"/>
    <d v="1977-06-26T00:00:00"/>
    <d v="1977-11-08T00:00:00"/>
    <n v="0.747"/>
    <n v="135"/>
  </r>
  <r>
    <n v="1"/>
    <n v="1334"/>
    <s v="Arts and crafts"/>
    <x v="1"/>
    <s v="Express"/>
    <n v="947"/>
    <n v="1385"/>
    <s v="LARKIN ST / ELLIS ST"/>
    <s v="2700 Block of DIAMOND ST"/>
    <x v="0"/>
    <d v="2010-02-13T00:00:00"/>
    <d v="2010-11-30T00:00:00"/>
    <n v="0.68379999999999996"/>
    <n v="290"/>
  </r>
  <r>
    <n v="390"/>
    <n v="8887"/>
    <s v="Automotive"/>
    <x v="0"/>
    <s v="Regular"/>
    <n v="234"/>
    <n v="780"/>
    <s v="6500 Block of 3RD ST"/>
    <s v="800 Block of 33RD AV"/>
    <x v="0"/>
    <d v="2009-03-24T00:00:00"/>
    <d v="2009-03-09T00:00:00"/>
    <n v="0.3"/>
    <n v="-15"/>
  </r>
  <r>
    <n v="446"/>
    <n v="9858"/>
    <s v="Food and Beverages"/>
    <x v="0"/>
    <s v="Express"/>
    <n v="931"/>
    <n v="1247"/>
    <s v="0 Block of WHITFIELD CT"/>
    <s v="1500 Block of POWELL ST"/>
    <x v="1"/>
    <d v="1993-04-25T00:00:00"/>
    <m/>
    <n v="0.74660000000000004"/>
    <s v=""/>
  </r>
  <r>
    <n v="32"/>
    <n v="9636"/>
    <s v="Arts and crafts"/>
    <x v="0"/>
    <s v="Express"/>
    <n v="478"/>
    <n v="705"/>
    <s v="1100 Block of OCEAN AV"/>
    <s v="900 Block of DEHARO ST"/>
    <x v="1"/>
    <d v="2004-08-30T00:00:00"/>
    <m/>
    <n v="0.67800000000000005"/>
    <s v=""/>
  </r>
  <r>
    <n v="420"/>
    <n v="9943"/>
    <s v="Industrial Equipments"/>
    <x v="0"/>
    <s v="Express"/>
    <n v="638"/>
    <n v="1130"/>
    <s v="BRYANT ST / 4TH ST"/>
    <s v="1300 Block of MISSION ST"/>
    <x v="1"/>
    <d v="1989-01-02T00:00:00"/>
    <m/>
    <n v="0.56459999999999999"/>
    <s v=""/>
  </r>
  <r>
    <n v="708"/>
    <n v="1246"/>
    <s v="Industrial Equipments"/>
    <x v="0"/>
    <s v="Express"/>
    <n v="50"/>
    <n v="72"/>
    <s v="900 Block of CONNECTICUT ST"/>
    <s v="LEAVENWORTH ST / EDDY ST"/>
    <x v="0"/>
    <d v="2019-02-19T00:00:00"/>
    <d v="2019-07-31T00:00:00"/>
    <n v="0.69440000000000002"/>
    <n v="162"/>
  </r>
  <r>
    <n v="227"/>
    <n v="4527"/>
    <s v="Industrial Equipments"/>
    <x v="1"/>
    <s v="Regular"/>
    <n v="477"/>
    <n v="564"/>
    <s v="POLK ST / BEACH ST"/>
    <s v="700 Block of LARKIN ST"/>
    <x v="0"/>
    <d v="2002-01-25T00:00:00"/>
    <d v="2002-01-05T00:00:00"/>
    <n v="0.84570000000000001"/>
    <n v="-20"/>
  </r>
  <r>
    <n v="595"/>
    <n v="3782"/>
    <s v="Fashion"/>
    <x v="1"/>
    <s v="Regular"/>
    <n v="879"/>
    <n v="1040"/>
    <s v="37TH AV / RIVERA ST"/>
    <s v="1200 Block of 36TH AV"/>
    <x v="1"/>
    <d v="2003-05-10T00:00:00"/>
    <m/>
    <n v="0.84519999999999995"/>
    <s v=""/>
  </r>
  <r>
    <n v="211"/>
    <n v="6225"/>
    <s v="Electronics"/>
    <x v="0"/>
    <s v="Express"/>
    <n v="912"/>
    <n v="1220"/>
    <s v="FREMONT ST / HARRISON ST"/>
    <s v="0 Block of CRESTLAKE DR"/>
    <x v="0"/>
    <d v="2006-03-17T00:00:00"/>
    <d v="2006-12-23T00:00:00"/>
    <n v="0.74750000000000005"/>
    <n v="281"/>
  </r>
  <r>
    <n v="650"/>
    <n v="2257"/>
    <s v="Food and Beverages"/>
    <x v="1"/>
    <s v="Regular"/>
    <n v="868"/>
    <n v="1141"/>
    <s v="400 Block of GENEVA AV"/>
    <s v="POWELL ST / OFARRELL ST"/>
    <x v="1"/>
    <d v="2007-06-18T00:00:00"/>
    <m/>
    <n v="0.76070000000000004"/>
    <s v=""/>
  </r>
  <r>
    <n v="45"/>
    <n v="9177"/>
    <s v="Healthcare"/>
    <x v="0"/>
    <s v="Express"/>
    <n v="889"/>
    <n v="1050"/>
    <s v="20TH ST / KANSAS ST"/>
    <s v="JEFFERSON ST / TAYLOR ST"/>
    <x v="0"/>
    <d v="1996-03-03T00:00:00"/>
    <d v="1996-05-01T00:00:00"/>
    <n v="0.84670000000000001"/>
    <n v="59"/>
  </r>
  <r>
    <n v="201"/>
    <n v="8703"/>
    <s v="Home Furnishing"/>
    <x v="0"/>
    <s v="Regular"/>
    <n v="482"/>
    <n v="850"/>
    <s v="4000 Block of 18TH ST"/>
    <s v="500 Block of ELLIS ST"/>
    <x v="1"/>
    <d v="1982-12-02T00:00:00"/>
    <m/>
    <n v="0.56710000000000005"/>
    <s v=""/>
  </r>
  <r>
    <n v="564"/>
    <n v="3514"/>
    <s v="Healthcare"/>
    <x v="1"/>
    <s v="Express"/>
    <n v="683"/>
    <n v="1275"/>
    <s v="1400 Block of 14TH AV"/>
    <s v="1800 Block of DIVISADERO ST"/>
    <x v="0"/>
    <d v="2004-05-02T00:00:00"/>
    <d v="2004-09-25T00:00:00"/>
    <n v="0.53569999999999995"/>
    <n v="146"/>
  </r>
  <r>
    <n v="138"/>
    <n v="3089"/>
    <s v="Home Furnishing"/>
    <x v="0"/>
    <s v="Regular"/>
    <n v="382"/>
    <n v="714"/>
    <s v="200 Block of 2ND ST"/>
    <s v="0 Block of THRIFT ST"/>
    <x v="1"/>
    <d v="2008-02-22T00:00:00"/>
    <m/>
    <n v="0.53500000000000003"/>
    <s v=""/>
  </r>
  <r>
    <n v="57"/>
    <n v="7253"/>
    <s v="Construction"/>
    <x v="0"/>
    <s v="Regular"/>
    <n v="753"/>
    <n v="1027"/>
    <s v="2900 Block of TURK ST"/>
    <s v="300 Block of DEMONTFORT AV"/>
    <x v="0"/>
    <d v="2004-03-18T00:00:00"/>
    <d v="2004-03-02T00:00:00"/>
    <n v="0.73319999999999996"/>
    <n v="-16"/>
  </r>
  <r>
    <n v="128"/>
    <n v="8786"/>
    <s v="Arts and crafts"/>
    <x v="1"/>
    <s v="Express"/>
    <n v="718"/>
    <n v="1486"/>
    <s v="0 Block of 7TH ST"/>
    <s v="300 Block of 10TH ST"/>
    <x v="1"/>
    <d v="1992-03-22T00:00:00"/>
    <m/>
    <n v="0.48320000000000002"/>
    <s v=""/>
  </r>
  <r>
    <n v="33"/>
    <n v="1211"/>
    <s v="Industrial Equipments"/>
    <x v="0"/>
    <s v="Express"/>
    <n v="577"/>
    <n v="1312"/>
    <s v="0 Block of CUMBERLAND ST"/>
    <s v="200 Block of POPLAR ST"/>
    <x v="1"/>
    <d v="1988-04-05T00:00:00"/>
    <m/>
    <n v="0.43980000000000002"/>
    <s v=""/>
  </r>
  <r>
    <n v="936"/>
    <n v="359"/>
    <s v="Electronics"/>
    <x v="1"/>
    <s v="Express"/>
    <n v="607"/>
    <n v="1007"/>
    <s v="1100 Block of POLK ST"/>
    <s v="800 Block of OFARRELL ST"/>
    <x v="1"/>
    <d v="2013-02-09T00:00:00"/>
    <m/>
    <n v="0.6028"/>
    <s v=""/>
  </r>
  <r>
    <n v="762"/>
    <n v="2066"/>
    <s v="Automotive"/>
    <x v="1"/>
    <s v="Regular"/>
    <n v="242"/>
    <n v="926"/>
    <s v="16TH ST / UTAH ST"/>
    <s v="400 Block of CASTRO ST"/>
    <x v="1"/>
    <d v="1978-03-21T00:00:00"/>
    <m/>
    <n v="0.26129999999999998"/>
    <s v=""/>
  </r>
  <r>
    <n v="838"/>
    <n v="4322"/>
    <s v="Industrial Equipments"/>
    <x v="1"/>
    <s v="Express"/>
    <n v="593"/>
    <n v="1036"/>
    <s v="100 Block of GOLDEN GATE AV"/>
    <s v="800 Block of MISSION ST"/>
    <x v="0"/>
    <d v="1995-01-05T00:00:00"/>
    <d v="1995-08-23T00:00:00"/>
    <n v="0.57240000000000002"/>
    <n v="230"/>
  </r>
  <r>
    <n v="215"/>
    <n v="7773"/>
    <s v="Electronics"/>
    <x v="0"/>
    <s v="Express"/>
    <n v="812"/>
    <n v="1161"/>
    <s v="1500 Block of POLK ST"/>
    <s v="600 Block of KANSAS ST"/>
    <x v="0"/>
    <d v="1985-01-10T00:00:00"/>
    <d v="1985-01-31T00:00:00"/>
    <n v="0.69940000000000002"/>
    <n v="21"/>
  </r>
  <r>
    <n v="818"/>
    <n v="6746"/>
    <s v="Hazardous Goods"/>
    <x v="0"/>
    <s v="Express"/>
    <n v="833"/>
    <n v="1016"/>
    <s v="POLK ST / SUTTER ST"/>
    <s v="1200 Block of NOE ST"/>
    <x v="0"/>
    <d v="2006-08-28T00:00:00"/>
    <d v="2006-10-20T00:00:00"/>
    <n v="0.81989999999999996"/>
    <n v="53"/>
  </r>
  <r>
    <n v="780"/>
    <n v="6732"/>
    <s v="Healthcare"/>
    <x v="1"/>
    <s v="Express"/>
    <n v="872"/>
    <n v="1058"/>
    <s v="100 Block of BREWSTER ST"/>
    <s v="900 Block of MARKET ST"/>
    <x v="0"/>
    <d v="1989-10-12T00:00:00"/>
    <d v="1989-10-17T00:00:00"/>
    <n v="0.82420000000000004"/>
    <n v="5"/>
  </r>
  <r>
    <n v="40"/>
    <n v="805"/>
    <s v="Arts and crafts"/>
    <x v="0"/>
    <s v="Regular"/>
    <n v="483"/>
    <n v="648"/>
    <s v="0 Block of TURK ST"/>
    <s v="900 Block of CAPITOL AV"/>
    <x v="1"/>
    <d v="1980-05-03T00:00:00"/>
    <m/>
    <n v="0.74539999999999995"/>
    <s v=""/>
  </r>
  <r>
    <n v="366"/>
    <n v="7540"/>
    <s v="Fashion"/>
    <x v="1"/>
    <s v="Regular"/>
    <n v="679"/>
    <n v="1015"/>
    <s v="1700 Block of SUNNYDALE AV"/>
    <s v="400 Block of BAKER ST"/>
    <x v="0"/>
    <d v="1980-03-01T00:00:00"/>
    <d v="1980-03-16T00:00:00"/>
    <n v="0.66900000000000004"/>
    <n v="15"/>
  </r>
  <r>
    <n v="678"/>
    <n v="5269"/>
    <s v="Hazardous Goods"/>
    <x v="1"/>
    <s v="Express"/>
    <n v="318"/>
    <n v="938"/>
    <s v="SOUTH VAN NESS AV / 13TH ST"/>
    <s v="100 Block of LELAND AV"/>
    <x v="1"/>
    <d v="1994-01-15T00:00:00"/>
    <m/>
    <n v="0.33900000000000002"/>
    <s v=""/>
  </r>
  <r>
    <n v="703"/>
    <n v="8404"/>
    <s v="Home Furnishing"/>
    <x v="0"/>
    <s v="Express"/>
    <n v="329"/>
    <n v="597"/>
    <s v="22ND ST / CAROLINA ST"/>
    <s v="2600 Block of FOLSOM ST"/>
    <x v="1"/>
    <d v="2017-01-25T00:00:00"/>
    <m/>
    <n v="0.55110000000000003"/>
    <s v=""/>
  </r>
  <r>
    <n v="180"/>
    <n v="519"/>
    <s v="Luggage"/>
    <x v="0"/>
    <s v="Regular"/>
    <n v="588"/>
    <n v="1182"/>
    <s v="POWELL ST / GEARY ST"/>
    <s v="3RD ST / PALOU AV"/>
    <x v="1"/>
    <d v="1975-04-01T00:00:00"/>
    <m/>
    <n v="0.4975"/>
    <s v=""/>
  </r>
  <r>
    <n v="214"/>
    <n v="4060"/>
    <s v="Food and Beverages"/>
    <x v="1"/>
    <s v="Regular"/>
    <n v="442"/>
    <n v="713"/>
    <s v="2500 Block of MISSION ST"/>
    <s v="2600 Block of 34TH AV"/>
    <x v="0"/>
    <d v="1987-03-06T00:00:00"/>
    <d v="1987-08-09T00:00:00"/>
    <n v="0.61990000000000001"/>
    <n v="156"/>
  </r>
  <r>
    <n v="408"/>
    <n v="8860"/>
    <s v="Hazardous Goods"/>
    <x v="0"/>
    <s v="Express"/>
    <n v="216"/>
    <n v="939"/>
    <s v="600 Block of VALENCIA ST"/>
    <s v="500 Block of 9TH ST"/>
    <x v="0"/>
    <d v="1990-02-21T00:00:00"/>
    <d v="1990-09-11T00:00:00"/>
    <n v="0.23"/>
    <n v="202"/>
  </r>
  <r>
    <n v="902"/>
    <n v="7164"/>
    <s v="Construction"/>
    <x v="0"/>
    <s v="Express"/>
    <n v="946"/>
    <n v="1082"/>
    <s v="300 Block of OFARRELL ST"/>
    <s v="0 Block of RAE AV"/>
    <x v="0"/>
    <d v="1989-01-06T00:00:00"/>
    <d v="1989-09-17T00:00:00"/>
    <n v="0.87429999999999997"/>
    <n v="254"/>
  </r>
  <r>
    <n v="763"/>
    <n v="9792"/>
    <s v="Luggage"/>
    <x v="1"/>
    <s v="Express"/>
    <n v="796"/>
    <n v="1347"/>
    <s v="1700 Block of FULTON ST"/>
    <s v="100 Block of GOLDEN GATE AV"/>
    <x v="0"/>
    <d v="2014-06-29T00:00:00"/>
    <d v="2014-09-09T00:00:00"/>
    <n v="0.59089999999999998"/>
    <n v="72"/>
  </r>
  <r>
    <n v="168"/>
    <n v="9934"/>
    <s v="Arts and crafts"/>
    <x v="0"/>
    <s v="Regular"/>
    <n v="26"/>
    <n v="47"/>
    <s v="DIVISADERO ST / JACKSON ST"/>
    <s v="0 Block of DESOTO ST"/>
    <x v="0"/>
    <d v="1997-01-05T00:00:00"/>
    <d v="1997-06-12T00:00:00"/>
    <n v="0.55320000000000003"/>
    <n v="158"/>
  </r>
  <r>
    <n v="723"/>
    <n v="1980"/>
    <s v="Automotive"/>
    <x v="0"/>
    <s v="Express"/>
    <n v="490"/>
    <n v="762"/>
    <s v="SILLIMAN ST / BOWDOIN ST"/>
    <s v="200 Block of LEAVENWORTH ST"/>
    <x v="1"/>
    <d v="1981-07-23T00:00:00"/>
    <m/>
    <n v="0.64300000000000002"/>
    <s v=""/>
  </r>
  <r>
    <n v="438"/>
    <n v="9251"/>
    <s v="Home Furnishing"/>
    <x v="0"/>
    <s v="Regular"/>
    <n v="430"/>
    <n v="642"/>
    <s v="2300 Block of CHESTNUT ST"/>
    <s v="LAKE MERCED BL / SUNSET BL"/>
    <x v="0"/>
    <d v="1977-03-26T00:00:00"/>
    <d v="1977-03-30T00:00:00"/>
    <n v="0.66979999999999995"/>
    <n v="4"/>
  </r>
  <r>
    <n v="162"/>
    <n v="6717"/>
    <s v="Arts and crafts"/>
    <x v="0"/>
    <s v="Express"/>
    <n v="209"/>
    <n v="665"/>
    <s v="500 Block of VALENCIA ST"/>
    <s v="6TH ST / STEVENSON ST"/>
    <x v="0"/>
    <d v="1982-06-10T00:00:00"/>
    <d v="1982-10-29T00:00:00"/>
    <n v="0.31430000000000002"/>
    <n v="141"/>
  </r>
  <r>
    <n v="246"/>
    <n v="3622"/>
    <s v="Automotive"/>
    <x v="1"/>
    <s v="Express"/>
    <n v="379"/>
    <n v="963"/>
    <s v="800 Block of 47TH AV"/>
    <s v="0 Block of LURLINE ST"/>
    <x v="0"/>
    <d v="2019-03-03T00:00:00"/>
    <d v="2019-03-01T00:00:00"/>
    <n v="0.39360000000000001"/>
    <n v="-2"/>
  </r>
  <r>
    <n v="105"/>
    <n v="8808"/>
    <s v="Industrial Equipments"/>
    <x v="0"/>
    <s v="Regular"/>
    <n v="949"/>
    <n v="1419"/>
    <s v="KEITH ST / THOMAS AV"/>
    <s v="100 Block of CAPP ST"/>
    <x v="1"/>
    <d v="1997-08-27T00:00:00"/>
    <m/>
    <n v="0.66879999999999995"/>
    <s v=""/>
  </r>
  <r>
    <n v="308"/>
    <n v="4920"/>
    <s v="Electronics"/>
    <x v="0"/>
    <s v="Express"/>
    <n v="438"/>
    <n v="656"/>
    <s v="LYON ST / OFARRELL ST"/>
    <s v="1200 Block of NOE ST"/>
    <x v="1"/>
    <d v="1979-01-28T00:00:00"/>
    <m/>
    <n v="0.66769999999999996"/>
    <s v=""/>
  </r>
  <r>
    <n v="172"/>
    <n v="3140"/>
    <s v="Food and Beverages"/>
    <x v="1"/>
    <s v="Express"/>
    <n v="726"/>
    <n v="1381"/>
    <s v="0 Block of HARRISON ST"/>
    <s v="1200 Block of GOLDEN GATE AV"/>
    <x v="0"/>
    <d v="2004-10-29T00:00:00"/>
    <d v="2004-10-26T00:00:00"/>
    <n v="0.52569999999999995"/>
    <n v="-3"/>
  </r>
  <r>
    <n v="775"/>
    <n v="8104"/>
    <s v="Home Furnishing"/>
    <x v="0"/>
    <s v="Express"/>
    <n v="451"/>
    <n v="713"/>
    <s v="0 Block of 6TH ST"/>
    <s v="1400 Block of RANKIN ST"/>
    <x v="1"/>
    <d v="2004-09-28T00:00:00"/>
    <m/>
    <n v="0.63249999999999995"/>
    <s v=""/>
  </r>
  <r>
    <n v="333"/>
    <n v="2208"/>
    <s v="Luggage"/>
    <x v="0"/>
    <s v="Regular"/>
    <n v="812"/>
    <n v="1104"/>
    <s v="1800 Block of DONNER AV"/>
    <s v="19TH AV / LINCOLN WY"/>
    <x v="0"/>
    <d v="2013-01-12T00:00:00"/>
    <d v="2013-08-11T00:00:00"/>
    <n v="0.73550000000000004"/>
    <n v="211"/>
  </r>
  <r>
    <n v="548"/>
    <n v="7043"/>
    <s v="Healthcare"/>
    <x v="1"/>
    <s v="Regular"/>
    <n v="240"/>
    <n v="571"/>
    <s v="800 Block of INGERSON AV"/>
    <s v="MISSION ST / 2ND ST"/>
    <x v="1"/>
    <d v="2012-06-17T00:00:00"/>
    <m/>
    <n v="0.42030000000000001"/>
    <s v=""/>
  </r>
  <r>
    <n v="665"/>
    <n v="7485"/>
    <s v="Arts and crafts"/>
    <x v="0"/>
    <s v="Regular"/>
    <n v="982"/>
    <n v="1405"/>
    <s v="1300 Block of REVERE AV"/>
    <s v="0 Block of WILLIAR AV"/>
    <x v="0"/>
    <d v="2010-01-12T00:00:00"/>
    <d v="2010-04-27T00:00:00"/>
    <n v="0.69889999999999997"/>
    <n v="105"/>
  </r>
  <r>
    <n v="305"/>
    <n v="1748"/>
    <s v="Automotive"/>
    <x v="0"/>
    <s v="Express"/>
    <n v="954"/>
    <n v="1473"/>
    <s v="0 Block of DORE ST"/>
    <s v="100 Block of TURK ST"/>
    <x v="0"/>
    <d v="1992-08-11T00:00:00"/>
    <d v="1992-11-01T00:00:00"/>
    <n v="0.64770000000000005"/>
    <n v="82"/>
  </r>
  <r>
    <n v="938"/>
    <n v="9968"/>
    <s v="Hazardous Goods"/>
    <x v="0"/>
    <s v="Regular"/>
    <n v="35"/>
    <n v="20"/>
    <s v="1200 Block of THE EMBARCADERONORTH ST"/>
    <s v="500 Block of BRANNAN ST"/>
    <x v="1"/>
    <d v="2018-12-21T00:00:00"/>
    <m/>
    <n v="1.75"/>
    <s v=""/>
  </r>
  <r>
    <n v="714"/>
    <n v="5330"/>
    <s v="Electronics"/>
    <x v="0"/>
    <s v="Express"/>
    <n v="148"/>
    <n v="835"/>
    <s v="PIERCE ST / LOMBARD ST"/>
    <s v="8TH AV / CLEMENT ST"/>
    <x v="0"/>
    <d v="2011-04-22T00:00:00"/>
    <d v="2011-06-08T00:00:00"/>
    <n v="0.1772"/>
    <n v="47"/>
  </r>
  <r>
    <n v="251"/>
    <n v="2183"/>
    <s v="Food and Beverages"/>
    <x v="1"/>
    <s v="Regular"/>
    <n v="422"/>
    <n v="651"/>
    <s v="1700 Block of NEWCOMB AV"/>
    <s v="1500 Block of LASALLE AV"/>
    <x v="0"/>
    <d v="2003-10-25T00:00:00"/>
    <d v="2003-12-02T00:00:00"/>
    <n v="0.6482"/>
    <n v="38"/>
  </r>
  <r>
    <n v="330"/>
    <n v="2182"/>
    <s v="Home Furnishing"/>
    <x v="0"/>
    <s v="Express"/>
    <n v="275"/>
    <n v="653"/>
    <s v="2300 Block of 25TH AV"/>
    <s v="HOLLYPARK CR / MURRAY ST"/>
    <x v="1"/>
    <d v="2012-02-08T00:00:00"/>
    <m/>
    <n v="0.42109999999999997"/>
    <s v=""/>
  </r>
  <r>
    <n v="69"/>
    <n v="1087"/>
    <s v="Healthcare"/>
    <x v="0"/>
    <s v="Regular"/>
    <n v="367"/>
    <n v="740"/>
    <s v="2000 Block of MISSION ST"/>
    <s v="2400 Block of SAN BRUNO AV"/>
    <x v="0"/>
    <d v="2018-03-14T00:00:00"/>
    <d v="2018-08-30T00:00:00"/>
    <n v="0.49590000000000001"/>
    <n v="169"/>
  </r>
  <r>
    <n v="969"/>
    <n v="4296"/>
    <s v="Industrial Equipments"/>
    <x v="1"/>
    <s v="Express"/>
    <n v="507"/>
    <n v="1334"/>
    <s v="1100 Block of CONNECTICUT ST"/>
    <s v="1700 Block of 22ND AV"/>
    <x v="0"/>
    <d v="2013-03-19T00:00:00"/>
    <d v="2013-03-09T00:00:00"/>
    <n v="0.38009999999999999"/>
    <n v="-10"/>
  </r>
  <r>
    <n v="974"/>
    <n v="9784"/>
    <s v="Automotive"/>
    <x v="1"/>
    <s v="Regular"/>
    <n v="442"/>
    <n v="770"/>
    <s v="1000 Block of POTRERO AV"/>
    <s v="0 Block of LEAVENWORTH ST"/>
    <x v="0"/>
    <d v="2013-04-23T00:00:00"/>
    <d v="2013-06-21T00:00:00"/>
    <n v="0.57399999999999995"/>
    <n v="59"/>
  </r>
  <r>
    <n v="526"/>
    <n v="6210"/>
    <s v="Arts and crafts"/>
    <x v="1"/>
    <s v="Regular"/>
    <n v="510"/>
    <n v="1205"/>
    <s v="500 Block of 41ST AV"/>
    <s v="500 Block of GUERRERO ST"/>
    <x v="0"/>
    <d v="1991-02-10T00:00:00"/>
    <d v="1991-07-03T00:00:00"/>
    <n v="0.42320000000000002"/>
    <n v="143"/>
  </r>
  <r>
    <n v="510"/>
    <n v="5781"/>
    <s v="Fashion"/>
    <x v="1"/>
    <s v="Regular"/>
    <n v="117"/>
    <n v="716"/>
    <s v="700 Block of MARKET ST"/>
    <s v="ELLIS ST / HYDE ST"/>
    <x v="1"/>
    <d v="1976-10-04T00:00:00"/>
    <m/>
    <n v="0.16339999999999999"/>
    <s v=""/>
  </r>
  <r>
    <n v="444"/>
    <n v="8306"/>
    <s v="Construction"/>
    <x v="0"/>
    <s v="Express"/>
    <n v="973"/>
    <n v="1250"/>
    <s v="0 Block of CASTLEMANOR AV"/>
    <s v="LANE ST / REVERE AV"/>
    <x v="1"/>
    <d v="1987-10-25T00:00:00"/>
    <m/>
    <n v="0.77839999999999998"/>
    <s v=""/>
  </r>
  <r>
    <n v="503"/>
    <n v="3270"/>
    <s v="Food and Beverages"/>
    <x v="0"/>
    <s v="Regular"/>
    <n v="243"/>
    <n v="935"/>
    <s v="GEARY ST / HYDE ST"/>
    <s v="1200 Block of MARKET ST"/>
    <x v="0"/>
    <d v="1974-03-26T00:00:00"/>
    <d v="1974-05-25T00:00:00"/>
    <n v="0.25990000000000002"/>
    <n v="60"/>
  </r>
  <r>
    <n v="109"/>
    <n v="6787"/>
    <s v="Luggage"/>
    <x v="0"/>
    <s v="Express"/>
    <n v="715"/>
    <n v="1185"/>
    <s v="2000 Block of MISSION ST"/>
    <s v="500 Block of 39TH AV"/>
    <x v="1"/>
    <d v="2014-05-18T00:00:00"/>
    <m/>
    <n v="0.60340000000000005"/>
    <s v=""/>
  </r>
  <r>
    <n v="823"/>
    <n v="3733"/>
    <s v="Healthcare"/>
    <x v="0"/>
    <s v="Express"/>
    <n v="571"/>
    <n v="1031"/>
    <s v="700 Block of STANYAN ST"/>
    <s v="600 Block of MISSION ST"/>
    <x v="0"/>
    <d v="1975-05-18T00:00:00"/>
    <d v="1975-05-20T00:00:00"/>
    <n v="0.55379999999999996"/>
    <n v="2"/>
  </r>
  <r>
    <n v="147"/>
    <n v="207"/>
    <s v="Industrial Equipments"/>
    <x v="0"/>
    <s v="Express"/>
    <n v="369"/>
    <n v="646"/>
    <s v="300 Block of ATHENS ST"/>
    <s v="1400 Block of CLAY ST"/>
    <x v="0"/>
    <d v="2005-03-20T00:00:00"/>
    <d v="2005-09-15T00:00:00"/>
    <n v="0.57120000000000004"/>
    <n v="179"/>
  </r>
  <r>
    <n v="625"/>
    <n v="3"/>
    <s v="Industrial Equipments"/>
    <x v="1"/>
    <s v="Regular"/>
    <n v="318"/>
    <n v="980"/>
    <s v="5600 Block of DIAMONDHEIGHTS BL"/>
    <s v="100 Block of ELLIOT ST"/>
    <x v="1"/>
    <d v="2018-10-03T00:00:00"/>
    <m/>
    <n v="0.32450000000000001"/>
    <s v=""/>
  </r>
  <r>
    <n v="695"/>
    <n v="1896"/>
    <s v="Food and Beverages"/>
    <x v="0"/>
    <s v="Regular"/>
    <n v="266"/>
    <n v="833"/>
    <s v="2000 Block of MISSION ST"/>
    <s v="4600 Block of IRVING ST"/>
    <x v="1"/>
    <d v="2013-09-25T00:00:00"/>
    <m/>
    <n v="0.31929999999999997"/>
    <s v=""/>
  </r>
  <r>
    <n v="983"/>
    <n v="9631"/>
    <s v="Home Furnishing"/>
    <x v="1"/>
    <s v="Regular"/>
    <n v="60"/>
    <n v="166"/>
    <s v="200 Block of TURK ST"/>
    <s v="0 Block of ANKENY ST"/>
    <x v="1"/>
    <d v="1993-07-09T00:00:00"/>
    <m/>
    <n v="0.3614"/>
    <s v=""/>
  </r>
  <r>
    <n v="82"/>
    <n v="3132"/>
    <s v="Luggage"/>
    <x v="1"/>
    <s v="Express"/>
    <n v="121"/>
    <n v="557"/>
    <s v="NATOMA ST / 2ND ST"/>
    <s v="3500 Block of MISSION ST"/>
    <x v="1"/>
    <d v="1997-05-29T00:00:00"/>
    <m/>
    <n v="0.2172"/>
    <s v=""/>
  </r>
  <r>
    <n v="397"/>
    <n v="1202"/>
    <s v="Automotive"/>
    <x v="1"/>
    <s v="Express"/>
    <n v="876"/>
    <n v="1045"/>
    <s v="1600 Block of DONNER AV"/>
    <s v="800 Block of LARKIN ST"/>
    <x v="1"/>
    <d v="2004-02-29T00:00:00"/>
    <m/>
    <n v="0.83830000000000005"/>
    <s v=""/>
  </r>
  <r>
    <n v="599"/>
    <n v="8834"/>
    <s v="Industrial Equipments"/>
    <x v="0"/>
    <s v="Regular"/>
    <n v="946"/>
    <n v="1100"/>
    <s v="400 Block of ELLIS ST"/>
    <s v="800 Block of MOSCOW ST"/>
    <x v="1"/>
    <d v="2001-08-31T00:00:00"/>
    <m/>
    <n v="0.86"/>
    <s v=""/>
  </r>
  <r>
    <n v="306"/>
    <n v="1201"/>
    <s v="Hazardous Goods"/>
    <x v="0"/>
    <s v="Regular"/>
    <n v="654"/>
    <n v="1150"/>
    <s v="100 Block of LEAVENWORTH ST"/>
    <s v="100 Block of PERSIA AV"/>
    <x v="0"/>
    <d v="1983-01-28T00:00:00"/>
    <d v="1983-07-22T00:00:00"/>
    <n v="0.56869999999999998"/>
    <n v="175"/>
  </r>
  <r>
    <n v="536"/>
    <n v="2573"/>
    <s v="Construction"/>
    <x v="0"/>
    <s v="Express"/>
    <n v="74"/>
    <n v="281"/>
    <s v="100 Block of POWELL ST"/>
    <s v="0 Block of TAYLOR ST"/>
    <x v="0"/>
    <d v="2016-09-23T00:00:00"/>
    <d v="2016-09-21T00:00:00"/>
    <n v="0.26329999999999998"/>
    <n v="-2"/>
  </r>
  <r>
    <n v="20"/>
    <n v="6759"/>
    <s v="Construction"/>
    <x v="0"/>
    <s v="Regular"/>
    <n v="630"/>
    <n v="1062"/>
    <s v="1600 Block of 39TH AV"/>
    <s v="PARNASSUS AV / CLAYTON ST"/>
    <x v="1"/>
    <d v="2017-09-29T00:00:00"/>
    <m/>
    <n v="0.59319999999999995"/>
    <s v=""/>
  </r>
  <r>
    <n v="515"/>
    <n v="2601"/>
    <s v="Healthcare"/>
    <x v="0"/>
    <s v="Express"/>
    <n v="782"/>
    <n v="1425"/>
    <s v="MARKET ST / CHURCH ST"/>
    <s v="LOMBARD ST / LEAVENWORTH ST"/>
    <x v="1"/>
    <d v="1996-01-01T00:00:00"/>
    <m/>
    <n v="0.54879999999999995"/>
    <s v=""/>
  </r>
  <r>
    <n v="332"/>
    <n v="2656"/>
    <s v="Luggage"/>
    <x v="1"/>
    <s v="Regular"/>
    <n v="45"/>
    <n v="39"/>
    <s v="100 Block of UPPER TR"/>
    <s v="POST ST / HYDE ST"/>
    <x v="1"/>
    <d v="2008-09-14T00:00:00"/>
    <m/>
    <n v="1.1537999999999999"/>
    <s v=""/>
  </r>
  <r>
    <n v="127"/>
    <n v="9645"/>
    <s v="Luggage"/>
    <x v="1"/>
    <s v="Express"/>
    <n v="916"/>
    <n v="1143"/>
    <s v="300 Block of SALINAS AV"/>
    <s v="1900 Block of FILLMORE ST"/>
    <x v="0"/>
    <d v="2006-01-08T00:00:00"/>
    <d v="2006-01-09T00:00:00"/>
    <n v="0.8014"/>
    <n v="1"/>
  </r>
  <r>
    <n v="958"/>
    <n v="584"/>
    <s v="Hazardous Goods"/>
    <x v="1"/>
    <s v="Express"/>
    <n v="274"/>
    <n v="669"/>
    <s v="0 Block of GOLDEN GATE AV"/>
    <s v="900 Block of MARIPOSA ST"/>
    <x v="1"/>
    <d v="2016-02-24T00:00:00"/>
    <m/>
    <n v="0.40960000000000002"/>
    <s v=""/>
  </r>
  <r>
    <n v="42"/>
    <n v="2121"/>
    <s v="Arts and crafts"/>
    <x v="0"/>
    <s v="Regular"/>
    <n v="987"/>
    <n v="1134"/>
    <s v="MINNA ST / 5TH ST"/>
    <s v="MARKET ST / 5TH ST"/>
    <x v="0"/>
    <d v="1979-01-20T00:00:00"/>
    <d v="1979-09-12T00:00:00"/>
    <n v="0.87039999999999995"/>
    <n v="235"/>
  </r>
  <r>
    <n v="977"/>
    <n v="2142"/>
    <s v="Arts and crafts"/>
    <x v="1"/>
    <s v="Regular"/>
    <n v="434"/>
    <n v="558"/>
    <s v="200 Block of MISSOURI ST"/>
    <s v="900 Block of ELLSWORTH ST"/>
    <x v="0"/>
    <d v="2002-02-03T00:00:00"/>
    <d v="2002-10-20T00:00:00"/>
    <n v="0.77780000000000005"/>
    <n v="259"/>
  </r>
  <r>
    <n v="460"/>
    <n v="2396"/>
    <s v="Electronics"/>
    <x v="1"/>
    <s v="Express"/>
    <n v="897"/>
    <n v="1313"/>
    <s v="100 Block of EDDY ST"/>
    <s v="1400 Block of KIRKWOOD CT"/>
    <x v="0"/>
    <d v="2005-04-16T00:00:00"/>
    <d v="2005-09-15T00:00:00"/>
    <n v="0.68320000000000003"/>
    <n v="152"/>
  </r>
  <r>
    <n v="659"/>
    <n v="8747"/>
    <s v="Automotive"/>
    <x v="1"/>
    <s v="Regular"/>
    <n v="442"/>
    <n v="595"/>
    <s v="0 Block of UNITEDNATIONS PZ"/>
    <s v="200 Block of HAHN ST"/>
    <x v="0"/>
    <d v="1998-02-21T00:00:00"/>
    <d v="1998-09-11T00:00:00"/>
    <n v="0.7429"/>
    <n v="202"/>
  </r>
  <r>
    <n v="197"/>
    <n v="4142"/>
    <s v="Food and Beverages"/>
    <x v="0"/>
    <s v="Express"/>
    <n v="98"/>
    <n v="360"/>
    <s v="300 Block of BUCHANAN ST"/>
    <s v="2800 Block of BRYANT ST"/>
    <x v="0"/>
    <d v="1989-03-29T00:00:00"/>
    <d v="1989-08-23T00:00:00"/>
    <n v="0.2722"/>
    <n v="147"/>
  </r>
  <r>
    <n v="540"/>
    <n v="9770"/>
    <s v="Luggage"/>
    <x v="1"/>
    <s v="Express"/>
    <n v="431"/>
    <n v="934"/>
    <s v="4000 Block of GEARY BL"/>
    <s v="1000 Block of POTRERO AV"/>
    <x v="0"/>
    <d v="1977-04-21T00:00:00"/>
    <d v="1977-11-08T00:00:00"/>
    <n v="0.46150000000000002"/>
    <n v="201"/>
  </r>
  <r>
    <n v="178"/>
    <n v="2593"/>
    <s v="Construction"/>
    <x v="1"/>
    <s v="Express"/>
    <n v="745"/>
    <n v="1383"/>
    <s v="3100 Block of 23RD ST"/>
    <s v="GEARY ST / POWELL ST"/>
    <x v="0"/>
    <d v="2009-01-01T00:00:00"/>
    <d v="2009-01-26T00:00:00"/>
    <n v="0.53869999999999996"/>
    <n v="25"/>
  </r>
  <r>
    <n v="202"/>
    <n v="9807"/>
    <s v="Home Furnishing"/>
    <x v="1"/>
    <s v="Express"/>
    <n v="871"/>
    <n v="1274"/>
    <s v="200 Block of HAHN ST"/>
    <s v="600 Block of VALENCIA ST"/>
    <x v="0"/>
    <d v="2001-01-27T00:00:00"/>
    <d v="2001-08-03T00:00:00"/>
    <n v="0.68369999999999997"/>
    <n v="188"/>
  </r>
  <r>
    <n v="632"/>
    <n v="2525"/>
    <s v="Industrial Equipments"/>
    <x v="0"/>
    <s v="Regular"/>
    <n v="67"/>
    <n v="193"/>
    <s v="CAPP ST / 17TH ST"/>
    <s v="ALEMANY BL / ELLSWORTH ST"/>
    <x v="0"/>
    <d v="1992-08-26T00:00:00"/>
    <d v="1992-12-25T00:00:00"/>
    <n v="0.34720000000000001"/>
    <n v="121"/>
  </r>
  <r>
    <n v="25"/>
    <n v="1724"/>
    <s v="Home Furnishing"/>
    <x v="0"/>
    <s v="Express"/>
    <n v="431"/>
    <n v="702"/>
    <s v="4TH ST / HARRISON ST"/>
    <s v="600 Block of CLAY ST"/>
    <x v="0"/>
    <d v="2004-05-29T00:00:00"/>
    <d v="2004-05-17T00:00:00"/>
    <n v="0.61399999999999999"/>
    <n v="-12"/>
  </r>
  <r>
    <n v="990"/>
    <n v="7146"/>
    <s v="Construction"/>
    <x v="1"/>
    <s v="Regular"/>
    <n v="178"/>
    <n v="646"/>
    <s v="700 Block of BATTERY ST"/>
    <s v="0 Block of MARINA BL"/>
    <x v="0"/>
    <d v="2003-05-18T00:00:00"/>
    <d v="2003-11-28T00:00:00"/>
    <n v="0.27550000000000002"/>
    <n v="194"/>
  </r>
  <r>
    <n v="913"/>
    <n v="563"/>
    <s v="Home Furnishing"/>
    <x v="0"/>
    <s v="Express"/>
    <n v="180"/>
    <n v="755"/>
    <s v="5TH ST / MARKET ST"/>
    <s v="MONTGOMERY ST / VALLEJO ST"/>
    <x v="1"/>
    <d v="1974-05-08T00:00:00"/>
    <m/>
    <n v="0.2384"/>
    <s v=""/>
  </r>
  <r>
    <n v="371"/>
    <n v="7771"/>
    <s v="Arts and crafts"/>
    <x v="0"/>
    <s v="Express"/>
    <n v="280"/>
    <n v="990"/>
    <s v="2400 Block of MISSION ST"/>
    <s v="BEACH ST / TAYLOR ST"/>
    <x v="1"/>
    <d v="1975-07-03T00:00:00"/>
    <m/>
    <n v="0.2828"/>
    <s v=""/>
  </r>
  <r>
    <n v="514"/>
    <n v="4789"/>
    <s v="Hazardous Goods"/>
    <x v="0"/>
    <s v="Express"/>
    <n v="263"/>
    <n v="965"/>
    <s v="TARAVAL ST / 17TH AV"/>
    <s v="EDDY ST / MASON ST"/>
    <x v="1"/>
    <d v="1982-05-18T00:00:00"/>
    <m/>
    <n v="0.27250000000000002"/>
    <s v=""/>
  </r>
  <r>
    <n v="707"/>
    <n v="3221"/>
    <s v="Automotive"/>
    <x v="0"/>
    <s v="Regular"/>
    <n v="187"/>
    <n v="931"/>
    <s v="19TH ST / SHOTWELL ST"/>
    <s v="7TH ST / STEVENSON ST"/>
    <x v="1"/>
    <d v="2007-06-19T00:00:00"/>
    <m/>
    <n v="0.2009"/>
    <s v=""/>
  </r>
  <r>
    <n v="473"/>
    <n v="5197"/>
    <s v="Arts and crafts"/>
    <x v="1"/>
    <s v="Regular"/>
    <n v="94"/>
    <n v="361"/>
    <s v="2300 Block of 14TH AV"/>
    <s v="0 Block of 12TH ST"/>
    <x v="0"/>
    <d v="2012-01-25T00:00:00"/>
    <d v="2012-01-17T00:00:00"/>
    <n v="0.26040000000000002"/>
    <n v="-8"/>
  </r>
  <r>
    <n v="847"/>
    <n v="8183"/>
    <s v="Fashion"/>
    <x v="1"/>
    <s v="Express"/>
    <n v="906"/>
    <n v="1297"/>
    <s v="2100 Block of MISSION ST"/>
    <s v="1100 Block of FOLSOM ST"/>
    <x v="1"/>
    <d v="1983-04-17T00:00:00"/>
    <m/>
    <n v="0.69850000000000001"/>
    <s v=""/>
  </r>
  <r>
    <n v="815"/>
    <n v="1126"/>
    <s v="Healthcare"/>
    <x v="1"/>
    <s v="Regular"/>
    <n v="71"/>
    <n v="130"/>
    <s v="1400 Block of VANDYKE AV"/>
    <s v="EDDY ST / VANNESS AV"/>
    <x v="0"/>
    <d v="2010-01-30T00:00:00"/>
    <d v="2010-03-02T00:00:00"/>
    <n v="0.54620000000000002"/>
    <n v="31"/>
  </r>
  <r>
    <n v="928"/>
    <n v="4899"/>
    <s v="Hazardous Goods"/>
    <x v="1"/>
    <s v="Express"/>
    <n v="253"/>
    <n v="904"/>
    <s v="800 Block of MARKET ST"/>
    <s v="800 Block of MARKET ST"/>
    <x v="1"/>
    <d v="1973-09-05T00:00:00"/>
    <m/>
    <n v="0.27989999999999998"/>
    <s v=""/>
  </r>
  <r>
    <n v="210"/>
    <n v="4732"/>
    <s v="Home Furnishing"/>
    <x v="1"/>
    <s v="Express"/>
    <n v="591"/>
    <n v="1433"/>
    <s v="300 Block of COLLINGWOOD ST"/>
    <s v="900 Block of MARKET ST"/>
    <x v="1"/>
    <d v="2005-10-23T00:00:00"/>
    <m/>
    <n v="0.41239999999999999"/>
    <s v=""/>
  </r>
  <r>
    <n v="793"/>
    <n v="4103"/>
    <s v="Automotive"/>
    <x v="0"/>
    <s v="Regular"/>
    <n v="399"/>
    <n v="835"/>
    <s v="400 Block of ELLIS ST"/>
    <s v="17TH ST / SHOTWELL ST"/>
    <x v="1"/>
    <d v="1996-07-06T00:00:00"/>
    <m/>
    <n v="0.4778"/>
    <s v=""/>
  </r>
  <r>
    <n v="872"/>
    <n v="7861"/>
    <s v="Automotive"/>
    <x v="1"/>
    <s v="Express"/>
    <n v="91"/>
    <n v="242"/>
    <s v="21ST ST / POTRERO AV"/>
    <s v="400 Block of GENEVA AV"/>
    <x v="0"/>
    <d v="2008-05-21T00:00:00"/>
    <d v="2008-05-17T00:00:00"/>
    <n v="0.376"/>
    <n v="-4"/>
  </r>
  <r>
    <n v="298"/>
    <n v="7764"/>
    <s v="Hazardous Goods"/>
    <x v="1"/>
    <s v="Regular"/>
    <n v="717"/>
    <n v="1297"/>
    <s v="200 Block of 11TH AV"/>
    <s v="400 Block of TURK ST"/>
    <x v="1"/>
    <d v="1979-05-13T00:00:00"/>
    <m/>
    <n v="0.55279999999999996"/>
    <s v=""/>
  </r>
  <r>
    <n v="941"/>
    <n v="5345"/>
    <s v="Food and Beverages"/>
    <x v="1"/>
    <s v="Regular"/>
    <n v="735"/>
    <n v="1181"/>
    <s v="17TH ST / FOLSOM ST"/>
    <s v="400 Block of BRIGHT ST"/>
    <x v="0"/>
    <d v="2010-07-01T00:00:00"/>
    <d v="2010-08-28T00:00:00"/>
    <n v="0.62239999999999995"/>
    <n v="58"/>
  </r>
  <r>
    <n v="731"/>
    <n v="6191"/>
    <s v="Hazardous Goods"/>
    <x v="0"/>
    <s v="Express"/>
    <n v="970"/>
    <n v="1242"/>
    <s v="KEITH ST / SHAFTER AV"/>
    <s v="0 Block of SPOFFORD LN"/>
    <x v="1"/>
    <d v="1983-07-05T00:00:00"/>
    <m/>
    <n v="0.78100000000000003"/>
    <s v=""/>
  </r>
  <r>
    <n v="500"/>
    <n v="310"/>
    <s v="Arts and crafts"/>
    <x v="0"/>
    <s v="Regular"/>
    <n v="80"/>
    <n v="236"/>
    <s v="900 Block of LARKIN ST"/>
    <s v="900 Block of STOCKTON ST"/>
    <x v="1"/>
    <d v="1980-07-05T00:00:00"/>
    <m/>
    <n v="0.33900000000000002"/>
    <s v=""/>
  </r>
  <r>
    <n v="142"/>
    <n v="3095"/>
    <s v="Arts and crafts"/>
    <x v="0"/>
    <s v="Express"/>
    <n v="550"/>
    <n v="1171"/>
    <s v="400 Block of TURK ST"/>
    <s v="MADRID ST / RUSSIA AV"/>
    <x v="1"/>
    <d v="1983-08-21T00:00:00"/>
    <m/>
    <n v="0.46970000000000001"/>
    <s v=""/>
  </r>
  <r>
    <n v="787"/>
    <n v="2159"/>
    <s v="Arts and crafts"/>
    <x v="1"/>
    <s v="Express"/>
    <n v="187"/>
    <n v="864"/>
    <s v="0 Block of OFARRELL ST"/>
    <s v="200 Block of TURK ST"/>
    <x v="0"/>
    <d v="2011-03-28T00:00:00"/>
    <d v="2011-06-25T00:00:00"/>
    <n v="0.21640000000000001"/>
    <n v="89"/>
  </r>
  <r>
    <n v="749"/>
    <n v="3569"/>
    <s v="Automotive"/>
    <x v="1"/>
    <s v="Express"/>
    <n v="262"/>
    <n v="875"/>
    <s v="0 Block of PAYSON ST"/>
    <s v="0 Block of POWELL ST"/>
    <x v="0"/>
    <d v="2014-04-30T00:00:00"/>
    <d v="2014-07-02T00:00:00"/>
    <n v="0.2994"/>
    <n v="63"/>
  </r>
  <r>
    <n v="304"/>
    <n v="5958"/>
    <s v="Food and Beverages"/>
    <x v="0"/>
    <s v="Regular"/>
    <n v="540"/>
    <n v="1172"/>
    <s v="500 Block of STEVENSON ST"/>
    <s v="HYDE ST / TURK ST"/>
    <x v="0"/>
    <d v="2004-03-20T00:00:00"/>
    <d v="2004-09-25T00:00:00"/>
    <n v="0.46079999999999999"/>
    <n v="189"/>
  </r>
  <r>
    <n v="30"/>
    <n v="1275"/>
    <s v="Fashion"/>
    <x v="0"/>
    <s v="Regular"/>
    <n v="581"/>
    <n v="1422"/>
    <s v="CALIFORNIA ST / DAVIS ST"/>
    <s v="0 Block of STOCKTON ST"/>
    <x v="0"/>
    <d v="2010-02-19T00:00:00"/>
    <d v="2010-03-09T00:00:00"/>
    <n v="0.40860000000000002"/>
    <n v="18"/>
  </r>
  <r>
    <n v="477"/>
    <n v="6357"/>
    <s v="Fashion"/>
    <x v="1"/>
    <s v="Regular"/>
    <n v="840"/>
    <n v="1061"/>
    <s v="400 Block of LEAVENWORTH ST"/>
    <s v="NEWCOMB AV / 3RD ST"/>
    <x v="1"/>
    <d v="1986-09-07T00:00:00"/>
    <m/>
    <n v="0.79169999999999996"/>
    <s v=""/>
  </r>
  <r>
    <n v="52"/>
    <n v="4551"/>
    <s v="Hazardous Goods"/>
    <x v="0"/>
    <s v="Express"/>
    <n v="873"/>
    <n v="1199"/>
    <s v="1000 Block of COLUMBUS AV"/>
    <s v="1400 Block of PHELPS ST"/>
    <x v="1"/>
    <d v="2016-05-20T00:00:00"/>
    <m/>
    <n v="0.72809999999999997"/>
    <s v=""/>
  </r>
  <r>
    <n v="73"/>
    <n v="4252"/>
    <s v="Home Furnishing"/>
    <x v="0"/>
    <s v="Express"/>
    <n v="315"/>
    <n v="937"/>
    <s v="800 Block of BRYANT ST"/>
    <s v="3800 Block of 24TH ST"/>
    <x v="1"/>
    <d v="1993-03-06T00:00:00"/>
    <m/>
    <n v="0.3362"/>
    <s v=""/>
  </r>
  <r>
    <n v="691"/>
    <n v="2096"/>
    <s v="Industrial Equipments"/>
    <x v="0"/>
    <s v="Regular"/>
    <n v="955"/>
    <n v="1369"/>
    <s v="5TH ST / MISSION ST"/>
    <s v="1500 Block of HAIGHT ST"/>
    <x v="0"/>
    <d v="2012-05-02T00:00:00"/>
    <d v="2012-08-20T00:00:00"/>
    <n v="0.6976"/>
    <n v="110"/>
  </r>
  <r>
    <n v="786"/>
    <n v="5209"/>
    <s v="Healthcare"/>
    <x v="1"/>
    <s v="Express"/>
    <n v="372"/>
    <n v="679"/>
    <s v="3600 Block of SACRAMENTO ST"/>
    <s v="SCOTT ST / CHESTNUT ST"/>
    <x v="0"/>
    <d v="1976-06-06T00:00:00"/>
    <d v="1976-08-31T00:00:00"/>
    <n v="0.54790000000000005"/>
    <n v="86"/>
  </r>
  <r>
    <n v="68"/>
    <n v="9271"/>
    <s v="Arts and crafts"/>
    <x v="0"/>
    <s v="Express"/>
    <n v="182"/>
    <n v="726"/>
    <s v="1700 Block of FULTON ST"/>
    <s v="300 Block of HAIGHT ST"/>
    <x v="1"/>
    <d v="2004-07-30T00:00:00"/>
    <m/>
    <n v="0.25069999999999998"/>
    <s v=""/>
  </r>
  <r>
    <n v="630"/>
    <n v="6772"/>
    <s v="Hazardous Goods"/>
    <x v="0"/>
    <s v="Regular"/>
    <n v="868"/>
    <n v="1320"/>
    <s v="3300 Block of BALBOA ST"/>
    <s v="300 Block of ELLIS ST"/>
    <x v="0"/>
    <d v="2009-02-23T00:00:00"/>
    <d v="2009-09-29T00:00:00"/>
    <n v="0.65759999999999996"/>
    <n v="218"/>
  </r>
  <r>
    <n v="357"/>
    <n v="4628"/>
    <s v="Healthcare"/>
    <x v="1"/>
    <s v="Express"/>
    <n v="777"/>
    <n v="1113"/>
    <s v="200 Block of KING ST"/>
    <s v="0 Block of FUENTE AV"/>
    <x v="1"/>
    <d v="1990-10-11T00:00:00"/>
    <m/>
    <n v="0.69810000000000005"/>
    <s v=""/>
  </r>
  <r>
    <n v="455"/>
    <n v="3853"/>
    <s v="Construction"/>
    <x v="1"/>
    <s v="Regular"/>
    <n v="172"/>
    <n v="580"/>
    <s v="LASALLE AV / PHELPS ST"/>
    <s v="2000 Block of MISSION ST"/>
    <x v="1"/>
    <d v="2011-10-08T00:00:00"/>
    <m/>
    <n v="0.29659999999999997"/>
    <s v=""/>
  </r>
  <r>
    <n v="947"/>
    <n v="515"/>
    <s v="Fashion"/>
    <x v="1"/>
    <s v="Express"/>
    <n v="665"/>
    <n v="1257"/>
    <s v="3300 Block of 22ND ST"/>
    <s v="CALIFORNIA ST / POLK ST"/>
    <x v="0"/>
    <d v="1987-01-15T00:00:00"/>
    <d v="1987-04-30T00:00:00"/>
    <n v="0.52900000000000003"/>
    <n v="105"/>
  </r>
  <r>
    <n v="589"/>
    <n v="7513"/>
    <s v="Arts and crafts"/>
    <x v="1"/>
    <s v="Express"/>
    <n v="516"/>
    <n v="1084"/>
    <s v="16TH ST / MISSOURI ST"/>
    <s v="200 Block of HARKNESS AV"/>
    <x v="1"/>
    <d v="1971-02-06T00:00:00"/>
    <m/>
    <n v="0.47599999999999998"/>
    <s v=""/>
  </r>
  <r>
    <n v="863"/>
    <n v="9030"/>
    <s v="Automotive"/>
    <x v="1"/>
    <s v="Regular"/>
    <n v="412"/>
    <n v="872"/>
    <s v="WINSTON DR / 19TH AV"/>
    <s v="300 Block of BEALE ST"/>
    <x v="1"/>
    <d v="1975-03-04T00:00:00"/>
    <m/>
    <n v="0.47249999999999998"/>
    <s v=""/>
  </r>
  <r>
    <n v="668"/>
    <n v="2378"/>
    <s v="Luggage"/>
    <x v="0"/>
    <s v="Express"/>
    <n v="938"/>
    <n v="1067"/>
    <s v="2100 Block of 16TH AV"/>
    <s v="5TH ST / MARKET ST"/>
    <x v="0"/>
    <d v="1972-06-10T00:00:00"/>
    <d v="1972-06-16T00:00:00"/>
    <n v="0.87909999999999999"/>
    <n v="6"/>
  </r>
  <r>
    <n v="206"/>
    <n v="5894"/>
    <s v="Luggage"/>
    <x v="1"/>
    <s v="Express"/>
    <n v="854"/>
    <n v="1251"/>
    <s v="1900 Block of WASHINGTON ST"/>
    <s v="CALIFORNIA ST / FILLMORE ST"/>
    <x v="1"/>
    <d v="2012-06-25T00:00:00"/>
    <m/>
    <n v="0.68269999999999997"/>
    <s v=""/>
  </r>
  <r>
    <n v="835"/>
    <n v="7587"/>
    <s v="Luggage"/>
    <x v="1"/>
    <s v="Regular"/>
    <n v="638"/>
    <n v="1314"/>
    <s v="MARTIN LUTHER KING JR DR / 9TH AV"/>
    <s v="0 Block of TURK ST"/>
    <x v="1"/>
    <d v="1977-01-05T00:00:00"/>
    <m/>
    <n v="0.48549999999999999"/>
    <s v=""/>
  </r>
  <r>
    <n v="315"/>
    <n v="1424"/>
    <s v="Food and Beverages"/>
    <x v="0"/>
    <s v="Express"/>
    <n v="230"/>
    <n v="638"/>
    <s v="3RD AV / BALBOA ST"/>
    <s v="400 Block of LAKESHORE DR"/>
    <x v="1"/>
    <d v="1995-11-26T00:00:00"/>
    <m/>
    <n v="0.36049999999999999"/>
    <s v=""/>
  </r>
  <r>
    <n v="553"/>
    <n v="5214"/>
    <s v="Arts and crafts"/>
    <x v="0"/>
    <s v="Regular"/>
    <n v="245"/>
    <n v="611"/>
    <s v="3800 Block of MISSION ST"/>
    <s v="100 Block of PAGE ST"/>
    <x v="1"/>
    <d v="1995-07-26T00:00:00"/>
    <m/>
    <n v="0.40100000000000002"/>
    <s v=""/>
  </r>
  <r>
    <n v="861"/>
    <n v="8249"/>
    <s v="Luggage"/>
    <x v="1"/>
    <s v="Regular"/>
    <n v="916"/>
    <n v="1255"/>
    <s v="500 Block of JOHNFKENNEDY DR"/>
    <s v="VALLEJO ST / KEARNY ST"/>
    <x v="0"/>
    <d v="1996-02-09T00:00:00"/>
    <d v="1996-09-13T00:00:00"/>
    <n v="0.72989999999999999"/>
    <n v="217"/>
  </r>
  <r>
    <n v="279"/>
    <n v="3172"/>
    <s v="Construction"/>
    <x v="1"/>
    <s v="Regular"/>
    <n v="84"/>
    <n v="464"/>
    <s v="800 Block of MARKET ST"/>
    <s v="1500 Block of SLOAT BL"/>
    <x v="1"/>
    <d v="2016-03-18T00:00:00"/>
    <m/>
    <n v="0.18099999999999999"/>
    <s v=""/>
  </r>
  <r>
    <n v="75"/>
    <n v="5489"/>
    <s v="Fashion"/>
    <x v="0"/>
    <s v="Regular"/>
    <n v="869"/>
    <n v="1317"/>
    <s v="100 Block of POWELL ST"/>
    <s v="GOLDEN GATE AV / LEAVENWORTH ST"/>
    <x v="0"/>
    <d v="2002-05-28T00:00:00"/>
    <d v="2002-09-08T00:00:00"/>
    <n v="0.65980000000000005"/>
    <n v="103"/>
  </r>
  <r>
    <n v="895"/>
    <n v="2037"/>
    <s v="Arts and crafts"/>
    <x v="1"/>
    <s v="Express"/>
    <n v="271"/>
    <n v="704"/>
    <s v="500 Block of HOWARD ST"/>
    <s v="500 Block of JACKSON ST"/>
    <x v="1"/>
    <d v="2010-03-15T00:00:00"/>
    <m/>
    <n v="0.38490000000000002"/>
    <s v=""/>
  </r>
  <r>
    <n v="866"/>
    <n v="2401"/>
    <s v="Luggage"/>
    <x v="1"/>
    <s v="Regular"/>
    <n v="691"/>
    <n v="1260"/>
    <s v="0 Block of MYRTLE ST"/>
    <s v="2ND ST / TOWNSEND ST"/>
    <x v="0"/>
    <d v="1995-01-22T00:00:00"/>
    <d v="1995-01-01T00:00:00"/>
    <n v="0.5484"/>
    <n v="-21"/>
  </r>
  <r>
    <n v="792"/>
    <n v="1303"/>
    <s v="Arts and crafts"/>
    <x v="0"/>
    <s v="Regular"/>
    <n v="808"/>
    <n v="1257"/>
    <s v="900 Block of THE EMBARCADERO NORTH ST"/>
    <s v="2500 Block of OCTAVIA ST"/>
    <x v="1"/>
    <d v="2008-09-24T00:00:00"/>
    <m/>
    <n v="0.64280000000000004"/>
    <s v=""/>
  </r>
  <r>
    <n v="191"/>
    <n v="6798"/>
    <s v="Home Furnishing"/>
    <x v="1"/>
    <s v="Express"/>
    <n v="997"/>
    <n v="1382"/>
    <s v="600 Block of GOETTINGEN ST"/>
    <s v="100 Block of 6TH ST"/>
    <x v="0"/>
    <d v="1989-01-03T00:00:00"/>
    <d v="1989-10-17T00:00:00"/>
    <n v="0.72140000000000004"/>
    <n v="287"/>
  </r>
  <r>
    <n v="59"/>
    <n v="9917"/>
    <s v="Construction"/>
    <x v="1"/>
    <s v="Regular"/>
    <n v="329"/>
    <n v="977"/>
    <s v="1000 Block of SUTTER ST"/>
    <s v="800 Block of 3RD ST"/>
    <x v="1"/>
    <d v="1984-04-02T00:00:00"/>
    <m/>
    <n v="0.3367"/>
    <s v=""/>
  </r>
  <r>
    <n v="748"/>
    <n v="2969"/>
    <s v="Home Furnishing"/>
    <x v="0"/>
    <s v="Regular"/>
    <n v="600"/>
    <n v="1048"/>
    <s v="100 Block of MONTGOMERY ST"/>
    <s v="600 Block of PRENTISS ST"/>
    <x v="1"/>
    <d v="1987-05-07T00:00:00"/>
    <m/>
    <n v="0.57250000000000001"/>
    <s v=""/>
  </r>
  <r>
    <n v="693"/>
    <n v="8737"/>
    <s v="Home Furnishing"/>
    <x v="1"/>
    <s v="Express"/>
    <n v="715"/>
    <n v="1271"/>
    <s v="0 Block of POWELL ST"/>
    <s v="600 Block of VALENCIA ST"/>
    <x v="1"/>
    <d v="1984-01-04T00:00:00"/>
    <m/>
    <n v="0.5625"/>
    <s v=""/>
  </r>
  <r>
    <n v="955"/>
    <n v="2104"/>
    <s v="Home Furnishing"/>
    <x v="1"/>
    <s v="Express"/>
    <n v="957"/>
    <n v="1007"/>
    <s v="BARTLETT ST / 21ST ST"/>
    <s v="FELL ST / POLK ST"/>
    <x v="0"/>
    <d v="1992-05-10T00:00:00"/>
    <d v="1992-12-27T00:00:00"/>
    <n v="0.95030000000000003"/>
    <n v="231"/>
  </r>
  <r>
    <n v="538"/>
    <n v="1702"/>
    <s v="Industrial Equipments"/>
    <x v="1"/>
    <s v="Express"/>
    <n v="484"/>
    <n v="863"/>
    <s v="700 Block of MARKET ST"/>
    <s v="700 Block of SWEENY ST"/>
    <x v="1"/>
    <d v="2009-08-07T00:00:00"/>
    <m/>
    <n v="0.56079999999999997"/>
    <s v=""/>
  </r>
  <r>
    <n v="169"/>
    <n v="8933"/>
    <s v="Electronics"/>
    <x v="1"/>
    <s v="Express"/>
    <n v="576"/>
    <n v="1077"/>
    <s v="0 Block of CAMERON WY"/>
    <s v="200 Block of DORE ST"/>
    <x v="0"/>
    <d v="2017-03-17T00:00:00"/>
    <d v="2017-08-24T00:00:00"/>
    <n v="0.53480000000000005"/>
    <n v="160"/>
  </r>
  <r>
    <n v="924"/>
    <n v="3624"/>
    <s v="Construction"/>
    <x v="1"/>
    <s v="Regular"/>
    <n v="606"/>
    <n v="1021"/>
    <s v="FILLMORE ST / OFARRELL ST"/>
    <s v="HAWTHORNE ST / HARRISON ST"/>
    <x v="0"/>
    <d v="2015-01-28T00:00:00"/>
    <d v="2015-03-20T00:00:00"/>
    <n v="0.59350000000000003"/>
    <n v="51"/>
  </r>
  <r>
    <n v="579"/>
    <n v="4892"/>
    <s v="Home Furnishing"/>
    <x v="0"/>
    <s v="Express"/>
    <n v="913"/>
    <n v="1385"/>
    <s v="SUTTER ST / LAGUNA ST"/>
    <s v="SOUTH VAN NESS AV / 22ND ST"/>
    <x v="1"/>
    <d v="2016-12-21T00:00:00"/>
    <m/>
    <n v="0.65920000000000001"/>
    <s v=""/>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2">
  <r>
    <n v="690"/>
    <n v="230"/>
    <s v="Healthcare"/>
    <x v="0"/>
    <s v="Regular"/>
    <n v="553"/>
    <n v="1210"/>
    <s v="1800 Block of 26TH ST"/>
    <s v="1200 Block of JACKSON ST"/>
    <x v="0"/>
    <d v="2014-04-28T00:00:00"/>
    <d v="2014-12-18T00:00:00"/>
    <n v="0.45700000000000002"/>
  </r>
  <r>
    <n v="933"/>
    <n v="3189"/>
    <s v="Healthcare"/>
    <x v="1"/>
    <s v="Express"/>
    <n v="810"/>
    <n v="1114"/>
    <s v="2600 Block of ALEMANY BL"/>
    <s v="700 Block of HAMPSHIRE ST"/>
    <x v="0"/>
    <d v="1997-06-14T00:00:00"/>
    <d v="1997-07-10T00:00:00"/>
    <n v="0.72709999999999997"/>
  </r>
  <r>
    <n v="261"/>
    <n v="2216"/>
    <s v="Luggage"/>
    <x v="0"/>
    <s v="Express"/>
    <n v="994"/>
    <n v="1020"/>
    <s v="BARTLETT ST / 23RD ST"/>
    <s v="500 Block of HAIGHT ST"/>
    <x v="1"/>
    <d v="1993-08-14T00:00:00"/>
    <m/>
    <n v="0.97450000000000003"/>
  </r>
  <r>
    <n v="445"/>
    <n v="1904"/>
    <s v="Home Furnishing"/>
    <x v="0"/>
    <s v="Express"/>
    <n v="598"/>
    <n v="1351"/>
    <s v="1300 Block of 7TH AV"/>
    <s v="300 Block of 9TH ST"/>
    <x v="1"/>
    <d v="2019-12-13T00:00:00"/>
    <m/>
    <n v="0.44259999999999999"/>
  </r>
  <r>
    <n v="722"/>
    <n v="7342"/>
    <s v="Electronics"/>
    <x v="1"/>
    <s v="Express"/>
    <n v="412"/>
    <n v="566"/>
    <s v="0 Block of EUREKA ST"/>
    <s v="1800 Block of VANNESS AV"/>
    <x v="1"/>
    <d v="1996-09-21T00:00:00"/>
    <m/>
    <n v="0.72789999999999999"/>
  </r>
  <r>
    <n v="129"/>
    <n v="7633"/>
    <s v="Food and Beverages"/>
    <x v="0"/>
    <s v="Regular"/>
    <n v="379"/>
    <n v="590"/>
    <s v="700 Block of VANNESS AV"/>
    <s v="500 Block of LEAVENWORTH ST"/>
    <x v="0"/>
    <d v="1971-04-23T00:00:00"/>
    <d v="1971-11-01T00:00:00"/>
    <n v="0.64239999999999997"/>
  </r>
  <r>
    <n v="489"/>
    <n v="2154"/>
    <s v="Fashion"/>
    <x v="0"/>
    <s v="Regular"/>
    <n v="892"/>
    <n v="1407"/>
    <s v="200 Block of BERRY ST"/>
    <s v="CARROLL AV / JENNINGS ST"/>
    <x v="1"/>
    <d v="2005-12-21T00:00:00"/>
    <m/>
    <n v="0.63400000000000001"/>
  </r>
  <r>
    <n v="165"/>
    <n v="5543"/>
    <s v="Industrial Equipments"/>
    <x v="0"/>
    <s v="Regular"/>
    <n v="347"/>
    <n v="786"/>
    <s v="1100 Block of FRANCISCO ST"/>
    <s v="1000 Block of MARKET ST"/>
    <x v="1"/>
    <d v="1979-07-03T00:00:00"/>
    <m/>
    <n v="0.4415"/>
  </r>
  <r>
    <n v="164"/>
    <n v="2332"/>
    <s v="Hazardous Goods"/>
    <x v="1"/>
    <s v="Express"/>
    <n v="457"/>
    <n v="855"/>
    <s v="100 Block of NEWMONTGOMERY ST"/>
    <s v="600 Block of SOUTH VAN NESS AV"/>
    <x v="1"/>
    <d v="1976-04-29T00:00:00"/>
    <m/>
    <n v="0.53449999999999998"/>
  </r>
  <r>
    <n v="364"/>
    <n v="4094"/>
    <s v="Automotive"/>
    <x v="1"/>
    <s v="Express"/>
    <n v="957"/>
    <n v="1182"/>
    <s v="200 Block of SCOTT ST"/>
    <s v="2600 Block of MISSION ST"/>
    <x v="1"/>
    <d v="2012-03-03T00:00:00"/>
    <m/>
    <n v="0.80959999999999999"/>
  </r>
  <r>
    <n v="469"/>
    <n v="3042"/>
    <s v="Electronics"/>
    <x v="1"/>
    <s v="Regular"/>
    <n v="23"/>
    <n v="25"/>
    <s v="BELVEDERE ST / WALLER ST"/>
    <s v="0 Block of CEDAR ST"/>
    <x v="0"/>
    <d v="1991-02-18T00:00:00"/>
    <d v="1991-05-15T00:00:00"/>
    <n v="0.92"/>
  </r>
  <r>
    <n v="158"/>
    <n v="2220"/>
    <s v="Healthcare"/>
    <x v="0"/>
    <s v="Express"/>
    <n v="479"/>
    <n v="861"/>
    <s v="800 Block of BRYANT ST"/>
    <s v="500 Block of FREDERICK ST"/>
    <x v="0"/>
    <d v="1976-03-31T00:00:00"/>
    <d v="1976-06-30T00:00:00"/>
    <n v="0.55630000000000002"/>
  </r>
  <r>
    <n v="337"/>
    <n v="4988"/>
    <s v="Electronics"/>
    <x v="0"/>
    <s v="Express"/>
    <n v="305"/>
    <n v="834"/>
    <s v="1300 Block of CALIFORNIA ST"/>
    <s v="0 Block of RAUSCH ST"/>
    <x v="1"/>
    <d v="1976-05-11T00:00:00"/>
    <m/>
    <n v="0.36570000000000003"/>
  </r>
  <r>
    <n v="634"/>
    <n v="175"/>
    <s v="Healthcare"/>
    <x v="1"/>
    <s v="Express"/>
    <n v="939"/>
    <n v="1446"/>
    <s v="300 Block of CHENERY ST"/>
    <s v="BUSH ST / BUCHANAN ST"/>
    <x v="1"/>
    <d v="1980-10-07T00:00:00"/>
    <m/>
    <n v="0.64939999999999998"/>
  </r>
  <r>
    <n v="577"/>
    <n v="4233"/>
    <s v="Fashion"/>
    <x v="0"/>
    <s v="Regular"/>
    <n v="679"/>
    <n v="1455"/>
    <s v="2600 Block of 18TH ST"/>
    <s v="800 Block of BRYANT ST"/>
    <x v="0"/>
    <d v="1987-03-19T00:00:00"/>
    <d v="1987-08-09T00:00:00"/>
    <n v="0.4667"/>
  </r>
  <r>
    <n v="907"/>
    <n v="4351"/>
    <s v="Electronics"/>
    <x v="1"/>
    <s v="Express"/>
    <n v="803"/>
    <n v="1020"/>
    <s v="800 Block of 30TH AV"/>
    <s v="1100 Block of MARKET ST"/>
    <x v="1"/>
    <d v="2013-07-23T00:00:00"/>
    <m/>
    <n v="0.7873"/>
  </r>
  <r>
    <n v="870"/>
    <n v="5578"/>
    <s v="Construction"/>
    <x v="0"/>
    <s v="Regular"/>
    <n v="783"/>
    <n v="1042"/>
    <s v="800 Block of GENEVA AV"/>
    <s v="300 Block of 4TH ST"/>
    <x v="1"/>
    <d v="2010-03-02T00:00:00"/>
    <m/>
    <n v="0.75139999999999996"/>
  </r>
  <r>
    <n v="982"/>
    <n v="4523"/>
    <s v="Industrial Equipments"/>
    <x v="0"/>
    <s v="Regular"/>
    <n v="432"/>
    <n v="915"/>
    <s v="800 Block of BRYANT ST"/>
    <s v="100 Block of TOWNSEND ST"/>
    <x v="1"/>
    <d v="2017-10-17T00:00:00"/>
    <m/>
    <n v="0.47210000000000002"/>
  </r>
  <r>
    <n v="351"/>
    <n v="2972"/>
    <s v="Industrial Equipments"/>
    <x v="0"/>
    <s v="Regular"/>
    <n v="776"/>
    <n v="1053"/>
    <s v="15TH ST / SANCHEZ ST"/>
    <s v="1700 Block of FULTON ST"/>
    <x v="0"/>
    <d v="1977-01-03T00:00:00"/>
    <d v="1977-07-06T00:00:00"/>
    <n v="0.7369"/>
  </r>
  <r>
    <n v="328"/>
    <n v="6153"/>
    <s v="Healthcare"/>
    <x v="0"/>
    <s v="Express"/>
    <n v="710"/>
    <n v="1066"/>
    <s v="900 Block of ELLSWORTH ST"/>
    <s v="400 Block of 28TH ST"/>
    <x v="0"/>
    <d v="1997-01-20T00:00:00"/>
    <d v="1997-09-08T00:00:00"/>
    <n v="0.66600000000000004"/>
  </r>
  <r>
    <n v="242"/>
    <n v="4852"/>
    <s v="Construction"/>
    <x v="0"/>
    <s v="Regular"/>
    <n v="959"/>
    <n v="1253"/>
    <s v="600 Block of FRANCISCO ST"/>
    <s v="FELL ST / MASONIC AV"/>
    <x v="1"/>
    <d v="1996-12-09T00:00:00"/>
    <m/>
    <n v="0.76539999999999997"/>
  </r>
  <r>
    <n v="421"/>
    <n v="8106"/>
    <s v="Automotive"/>
    <x v="1"/>
    <s v="Regular"/>
    <n v="147"/>
    <n v="535"/>
    <s v="800 Block of BRYANT ST"/>
    <s v="900 Block of RANDOLPH ST"/>
    <x v="0"/>
    <d v="1999-02-07T00:00:00"/>
    <d v="1999-03-05T00:00:00"/>
    <n v="0.27479999999999999"/>
  </r>
  <r>
    <n v="6"/>
    <n v="3917"/>
    <s v="Arts and crafts"/>
    <x v="1"/>
    <s v="Express"/>
    <n v="613"/>
    <n v="1256"/>
    <s v="800 Block of BRYANT ST"/>
    <s v="0 Block of 6TH ST"/>
    <x v="0"/>
    <d v="1977-03-08T00:00:00"/>
    <d v="1977-11-08T00:00:00"/>
    <n v="0.48809999999999998"/>
  </r>
  <r>
    <n v="384"/>
    <n v="9377"/>
    <s v="Luggage"/>
    <x v="0"/>
    <s v="Regular"/>
    <n v="590"/>
    <n v="1033"/>
    <s v="ELLIS ST / LAGUNA ST"/>
    <s v="0 Block of HYDE ST"/>
    <x v="1"/>
    <d v="1972-02-21T00:00:00"/>
    <m/>
    <n v="0.57120000000000004"/>
  </r>
  <r>
    <n v="286"/>
    <n v="5387"/>
    <s v="Electronics"/>
    <x v="0"/>
    <s v="Regular"/>
    <n v="193"/>
    <n v="817"/>
    <s v="100 Block of STEUART ST"/>
    <s v="900 Block of VALENCIA ST"/>
    <x v="0"/>
    <d v="2005-06-06T00:00:00"/>
    <d v="2005-09-15T00:00:00"/>
    <n v="0.23619999999999999"/>
  </r>
  <r>
    <n v="892"/>
    <n v="6513"/>
    <s v="Luggage"/>
    <x v="0"/>
    <s v="Regular"/>
    <n v="879"/>
    <n v="1037"/>
    <s v="700 Block of FOLSOM ST"/>
    <s v="300 Block of ARBALLO DR"/>
    <x v="0"/>
    <d v="2019-11-17T00:00:00"/>
    <d v="2019-12-12T00:00:00"/>
    <n v="0.84760000000000002"/>
  </r>
  <r>
    <n v="558"/>
    <n v="3965"/>
    <s v="Industrial Equipments"/>
    <x v="0"/>
    <s v="Regular"/>
    <n v="275"/>
    <n v="951"/>
    <s v="1600 Block of VANNESS AV"/>
    <s v="100 Block of PHELAN AV"/>
    <x v="0"/>
    <d v="2013-10-27T00:00:00"/>
    <d v="2013-11-15T00:00:00"/>
    <n v="0.28920000000000001"/>
  </r>
  <r>
    <n v="481"/>
    <n v="8893"/>
    <s v="Construction"/>
    <x v="1"/>
    <s v="Regular"/>
    <n v="319"/>
    <n v="770"/>
    <s v="800 Block of MARKET ST"/>
    <s v="0 Block of GORDON ST"/>
    <x v="1"/>
    <d v="2006-07-11T00:00:00"/>
    <m/>
    <n v="0.4143"/>
  </r>
  <r>
    <n v="155"/>
    <n v="1897"/>
    <s v="Hazardous Goods"/>
    <x v="0"/>
    <s v="Express"/>
    <n v="52"/>
    <n v="293"/>
    <s v="800 Block of BRYANT ST"/>
    <s v="600 Block of VALENCIA ST"/>
    <x v="1"/>
    <d v="2003-09-23T00:00:00"/>
    <m/>
    <n v="0.17749999999999999"/>
  </r>
  <r>
    <n v="771"/>
    <n v="390"/>
    <s v="Electronics"/>
    <x v="0"/>
    <s v="Regular"/>
    <n v="702"/>
    <n v="1414"/>
    <s v="SHOTWELL ST / 17TH ST"/>
    <s v="EDDY ST / HYDE ST"/>
    <x v="0"/>
    <d v="2013-05-03T00:00:00"/>
    <d v="2013-11-15T00:00:00"/>
    <n v="0.4965"/>
  </r>
  <r>
    <n v="945"/>
    <n v="3633"/>
    <s v="Healthcare"/>
    <x v="0"/>
    <s v="Express"/>
    <n v="299"/>
    <n v="524"/>
    <s v="1500 Block of BAKER ST"/>
    <s v="LIPPARD AV / BOSWORTH ST"/>
    <x v="0"/>
    <d v="2001-04-29T00:00:00"/>
    <d v="2001-08-10T00:00:00"/>
    <n v="0.5706"/>
  </r>
  <r>
    <n v="719"/>
    <n v="7828"/>
    <s v="Arts and crafts"/>
    <x v="0"/>
    <s v="Regular"/>
    <n v="930"/>
    <n v="1183"/>
    <s v="100 Block of BERRY ST"/>
    <s v="KERN ST / DIAMOND ST"/>
    <x v="0"/>
    <d v="2006-01-22T00:00:00"/>
    <d v="2006-07-17T00:00:00"/>
    <n v="0.78610000000000002"/>
  </r>
  <r>
    <n v="493"/>
    <n v="2241"/>
    <s v="Home Furnishing"/>
    <x v="0"/>
    <s v="Regular"/>
    <n v="314"/>
    <n v="566"/>
    <s v="700 Block of HOWARD ST"/>
    <s v="HARRISON ST / 3RD ST"/>
    <x v="1"/>
    <d v="1995-08-20T00:00:00"/>
    <m/>
    <n v="0.55479999999999996"/>
  </r>
  <r>
    <n v="998"/>
    <n v="896"/>
    <s v="Hazardous Goods"/>
    <x v="1"/>
    <s v="Express"/>
    <n v="109"/>
    <n v="961"/>
    <s v="0 Block of LEE AV"/>
    <s v="0 Block of FALLON PL"/>
    <x v="0"/>
    <d v="2013-11-21T00:00:00"/>
    <d v="2013-11-15T00:00:00"/>
    <n v="0.1134"/>
  </r>
  <r>
    <n v="968"/>
    <n v="6361"/>
    <s v="Food and Beverages"/>
    <x v="0"/>
    <s v="Regular"/>
    <n v="24"/>
    <n v="54"/>
    <s v="STOCKTON ST / BROADWAY ST"/>
    <s v="900 Block of GEARY ST"/>
    <x v="0"/>
    <d v="1993-01-04T00:00:00"/>
    <d v="1993-08-02T00:00:00"/>
    <n v="0.44440000000000002"/>
  </r>
  <r>
    <n v="738"/>
    <n v="6713"/>
    <s v="Electronics"/>
    <x v="0"/>
    <s v="Express"/>
    <n v="545"/>
    <n v="1044"/>
    <s v="LAKE MERCED BL / BROTHERHOOD WAY"/>
    <s v="HARRISON ST / THE EMBARCADEROSOUTH ST"/>
    <x v="1"/>
    <d v="1977-09-19T00:00:00"/>
    <m/>
    <n v="0.52200000000000002"/>
  </r>
  <r>
    <n v="912"/>
    <n v="4283"/>
    <s v="Fashion"/>
    <x v="1"/>
    <s v="Regular"/>
    <n v="505"/>
    <n v="1082"/>
    <s v="GEARY ST / POLK ST"/>
    <s v="1600 Block of LASALLE AV"/>
    <x v="1"/>
    <d v="2019-12-30T00:00:00"/>
    <m/>
    <n v="0.4667"/>
  </r>
  <r>
    <n v="782"/>
    <n v="9486"/>
    <s v="Electronics"/>
    <x v="1"/>
    <s v="Regular"/>
    <n v="182"/>
    <n v="871"/>
    <s v="1400 Block of DOUGLASS ST"/>
    <s v="48TH AV / JUDAH ST"/>
    <x v="0"/>
    <d v="2002-08-31T00:00:00"/>
    <d v="2002-10-20T00:00:00"/>
    <n v="0.20899999999999999"/>
  </r>
  <r>
    <n v="140"/>
    <n v="308"/>
    <s v="Luggage"/>
    <x v="1"/>
    <s v="Regular"/>
    <n v="226"/>
    <n v="970"/>
    <s v="100 Block of FONT BL"/>
    <s v="1000 Block of KEY AV"/>
    <x v="0"/>
    <d v="2006-06-10T00:00:00"/>
    <d v="2006-07-17T00:00:00"/>
    <n v="0.23300000000000001"/>
  </r>
  <r>
    <n v="702"/>
    <n v="8927"/>
    <s v="Home Furnishing"/>
    <x v="1"/>
    <s v="Regular"/>
    <n v="111"/>
    <n v="617"/>
    <s v="HOLLOWAY AV / BRIGHTON AV"/>
    <s v="TAYLOR ST / GOLDEN GATE AV"/>
    <x v="0"/>
    <d v="2004-07-07T00:00:00"/>
    <d v="2004-11-20T00:00:00"/>
    <n v="0.1799"/>
  </r>
  <r>
    <n v="284"/>
    <n v="249"/>
    <s v="Hazardous Goods"/>
    <x v="1"/>
    <s v="Express"/>
    <n v="145"/>
    <n v="814"/>
    <s v="1800 Block of KIRKHAM ST"/>
    <s v="800 Block of BRYANT ST"/>
    <x v="0"/>
    <d v="1982-02-06T00:00:00"/>
    <d v="1982-03-08T00:00:00"/>
    <n v="0.17810000000000001"/>
  </r>
  <r>
    <n v="199"/>
    <n v="2620"/>
    <s v="Electronics"/>
    <x v="0"/>
    <s v="Regular"/>
    <n v="829"/>
    <n v="1145"/>
    <s v="500 Block of TUNNEL AV"/>
    <s v="1600 Block of TURK ST"/>
    <x v="1"/>
    <d v="2007-07-27T00:00:00"/>
    <m/>
    <n v="0.72399999999999998"/>
  </r>
  <r>
    <n v="228"/>
    <n v="1164"/>
    <s v="Electronics"/>
    <x v="0"/>
    <s v="Regular"/>
    <n v="269"/>
    <n v="902"/>
    <s v="800 Block of BRYANT ST"/>
    <s v="100 Block of SPEAR ST"/>
    <x v="0"/>
    <d v="1994-03-30T00:00:00"/>
    <d v="1994-04-09T00:00:00"/>
    <n v="0.29820000000000002"/>
  </r>
  <r>
    <n v="908"/>
    <n v="4711"/>
    <s v="Hazardous Goods"/>
    <x v="1"/>
    <s v="Regular"/>
    <n v="660"/>
    <n v="1470"/>
    <s v="200 Block of CHENERY ST"/>
    <s v="2900 Block of DIAMOND ST"/>
    <x v="1"/>
    <d v="1999-01-28T00:00:00"/>
    <m/>
    <n v="0.44900000000000001"/>
  </r>
  <r>
    <n v="594"/>
    <n v="4053"/>
    <s v="Home Furnishing"/>
    <x v="0"/>
    <s v="Regular"/>
    <n v="484"/>
    <n v="568"/>
    <s v="1000 Block of POTRERO AV"/>
    <s v="400 Block of ROLPH ST"/>
    <x v="1"/>
    <d v="2004-03-20T00:00:00"/>
    <m/>
    <n v="0.85209999999999997"/>
  </r>
  <r>
    <n v="542"/>
    <n v="4272"/>
    <s v="Food and Beverages"/>
    <x v="1"/>
    <s v="Regular"/>
    <n v="100"/>
    <n v="487"/>
    <s v="100 Block of HYDE ST"/>
    <s v="BANCROFT AV / KEITH ST"/>
    <x v="1"/>
    <d v="1986-05-19T00:00:00"/>
    <m/>
    <n v="0.20530000000000001"/>
  </r>
  <r>
    <n v="586"/>
    <n v="7005"/>
    <s v="Construction"/>
    <x v="0"/>
    <s v="Express"/>
    <n v="711"/>
    <n v="1197"/>
    <s v="1100 Block of HUDSON AV"/>
    <s v="MYRTLE ST / LARKIN ST"/>
    <x v="1"/>
    <d v="1977-03-08T00:00:00"/>
    <m/>
    <n v="0.59399999999999997"/>
  </r>
  <r>
    <n v="636"/>
    <n v="2308"/>
    <s v="Home Furnishing"/>
    <x v="1"/>
    <s v="Regular"/>
    <n v="325"/>
    <n v="994"/>
    <s v="STOCKTON ST / POST ST"/>
    <s v="500 Block of MAGELLAN AV"/>
    <x v="0"/>
    <d v="2008-02-24T00:00:00"/>
    <d v="2008-08-09T00:00:00"/>
    <n v="0.32700000000000001"/>
  </r>
  <r>
    <n v="581"/>
    <n v="5150"/>
    <s v="Automotive"/>
    <x v="0"/>
    <s v="Regular"/>
    <n v="209"/>
    <n v="933"/>
    <s v="LEAVENWORTH ST / TURK ST"/>
    <s v="1600 Block of 38TH AV"/>
    <x v="1"/>
    <d v="2017-11-24T00:00:00"/>
    <m/>
    <n v="0.224"/>
  </r>
  <r>
    <n v="336"/>
    <n v="693"/>
    <s v="Construction"/>
    <x v="1"/>
    <s v="Express"/>
    <n v="996"/>
    <n v="1168"/>
    <s v="800 Block of BRYANT ST"/>
    <s v="3300 Block of MISSION ST"/>
    <x v="1"/>
    <d v="1972-10-09T00:00:00"/>
    <m/>
    <n v="0.85270000000000001"/>
  </r>
  <r>
    <n v="504"/>
    <n v="9598"/>
    <s v="Luggage"/>
    <x v="1"/>
    <s v="Regular"/>
    <n v="420"/>
    <n v="561"/>
    <s v="4200 Block of 26TH ST"/>
    <s v="0 Block of TURK ST"/>
    <x v="0"/>
    <d v="1982-07-11T00:00:00"/>
    <d v="1982-10-15T00:00:00"/>
    <n v="0.74870000000000003"/>
  </r>
  <r>
    <n v="346"/>
    <n v="8103"/>
    <s v="Industrial Equipments"/>
    <x v="1"/>
    <s v="Express"/>
    <n v="182"/>
    <n v="850"/>
    <s v="BLAKE ST / GEARY BL"/>
    <s v="BROADWAY ST / COLUMBUS AV"/>
    <x v="0"/>
    <d v="2007-06-05T00:00:00"/>
    <d v="2007-07-12T00:00:00"/>
    <n v="0.21410000000000001"/>
  </r>
  <r>
    <n v="135"/>
    <n v="8894"/>
    <s v="Construction"/>
    <x v="0"/>
    <s v="Express"/>
    <n v="901"/>
    <n v="1393"/>
    <s v="WASHINGTON ST / DRUMM ST"/>
    <s v="1200 Block of PINE ST"/>
    <x v="1"/>
    <d v="2004-09-10T00:00:00"/>
    <m/>
    <n v="0.64680000000000004"/>
  </r>
  <r>
    <n v="822"/>
    <n v="114"/>
    <s v="Construction"/>
    <x v="1"/>
    <s v="Regular"/>
    <n v="88"/>
    <n v="426"/>
    <s v="EXECUTIVEPARK BL / ALANA WY"/>
    <s v="900 Block of MISSION ST"/>
    <x v="0"/>
    <d v="1991-06-30T00:00:00"/>
    <d v="1991-07-15T00:00:00"/>
    <n v="0.20660000000000001"/>
  </r>
  <r>
    <n v="95"/>
    <n v="6546"/>
    <s v="Electronics"/>
    <x v="0"/>
    <s v="Regular"/>
    <n v="660"/>
    <n v="1208"/>
    <s v="0 Block of BROOKDALE AV"/>
    <s v="1300 Block of EGBERT AV"/>
    <x v="1"/>
    <d v="2013-04-11T00:00:00"/>
    <m/>
    <n v="0.5464"/>
  </r>
  <r>
    <n v="597"/>
    <n v="3571"/>
    <s v="Luggage"/>
    <x v="0"/>
    <s v="Regular"/>
    <n v="267"/>
    <n v="925"/>
    <s v="3600 Block of 22ND ST"/>
    <s v="200 Block of NAGLEE AV"/>
    <x v="1"/>
    <d v="2010-07-26T00:00:00"/>
    <m/>
    <n v="0.28860000000000002"/>
  </r>
  <r>
    <n v="340"/>
    <n v="7316"/>
    <s v="Fashion"/>
    <x v="1"/>
    <s v="Express"/>
    <n v="905"/>
    <n v="1392"/>
    <s v="700 Block of 3RD ST"/>
    <s v="FRANCISCO ST / JONES ST"/>
    <x v="1"/>
    <d v="1981-11-03T00:00:00"/>
    <m/>
    <n v="0.65010000000000001"/>
  </r>
  <r>
    <n v="905"/>
    <n v="2478"/>
    <s v="Luggage"/>
    <x v="0"/>
    <s v="Express"/>
    <n v="799"/>
    <n v="1425"/>
    <s v="1700 Block of 25TH ST"/>
    <s v="1300 Block of BROADWAY ST"/>
    <x v="0"/>
    <d v="1983-04-11T00:00:00"/>
    <d v="1983-09-30T00:00:00"/>
    <n v="0.56069999999999998"/>
  </r>
  <r>
    <n v="250"/>
    <n v="1215"/>
    <s v="Construction"/>
    <x v="1"/>
    <s v="Express"/>
    <n v="773"/>
    <n v="1225"/>
    <s v="1200 Block of POLK ST"/>
    <s v="1200 Block of MARKET ST"/>
    <x v="0"/>
    <d v="2006-09-18T00:00:00"/>
    <d v="2006-10-22T00:00:00"/>
    <n v="0.63100000000000001"/>
  </r>
  <r>
    <n v="400"/>
    <n v="5402"/>
    <s v="Luggage"/>
    <x v="0"/>
    <s v="Express"/>
    <n v="78"/>
    <n v="403"/>
    <s v="EARL ST / LASALLE AV"/>
    <s v="1400 Block of KIRKWOOD CT"/>
    <x v="1"/>
    <d v="2003-01-07T00:00:00"/>
    <m/>
    <n v="0.19350000000000001"/>
  </r>
  <r>
    <n v="877"/>
    <n v="1647"/>
    <s v="Industrial Equipments"/>
    <x v="0"/>
    <s v="Express"/>
    <n v="791"/>
    <n v="1169"/>
    <s v="CLARA ST / 4TH ST"/>
    <s v="100 Block of ATOLL CR"/>
    <x v="0"/>
    <d v="2000-01-25T00:00:00"/>
    <d v="2000-03-22T00:00:00"/>
    <n v="0.67659999999999998"/>
  </r>
  <r>
    <n v="97"/>
    <n v="9423"/>
    <s v="Construction"/>
    <x v="0"/>
    <s v="Express"/>
    <n v="603"/>
    <n v="1167"/>
    <s v="0 Block of STEINER ST"/>
    <s v="1100 Block of FRANCISCO ST"/>
    <x v="1"/>
    <d v="2011-05-25T00:00:00"/>
    <m/>
    <n v="0.51670000000000005"/>
  </r>
  <r>
    <n v="12"/>
    <n v="6404"/>
    <s v="Construction"/>
    <x v="0"/>
    <s v="Regular"/>
    <n v="360"/>
    <n v="565"/>
    <s v="1800 Block of 8TH AV"/>
    <s v="JONES ST / GOLDEN GATE AV"/>
    <x v="1"/>
    <d v="2000-06-18T00:00:00"/>
    <m/>
    <n v="0.63719999999999999"/>
  </r>
  <r>
    <n v="353"/>
    <n v="6767"/>
    <s v="Fashion"/>
    <x v="0"/>
    <s v="Express"/>
    <n v="84"/>
    <n v="354"/>
    <s v="HARRISON ST / 11TH ST"/>
    <s v="BROADWAY ST / KEARNY ST"/>
    <x v="0"/>
    <d v="2012-08-02T00:00:00"/>
    <d v="2012-10-04T00:00:00"/>
    <n v="0.23730000000000001"/>
  </r>
  <r>
    <n v="856"/>
    <n v="1278"/>
    <s v="Automotive"/>
    <x v="0"/>
    <s v="Regular"/>
    <n v="880"/>
    <n v="1178"/>
    <s v="500 Block of HYDE ST"/>
    <s v="400 Block of CAPP ST"/>
    <x v="0"/>
    <d v="1977-06-26T00:00:00"/>
    <d v="1977-11-08T00:00:00"/>
    <n v="0.747"/>
  </r>
  <r>
    <n v="1"/>
    <n v="1334"/>
    <s v="Arts and crafts"/>
    <x v="1"/>
    <s v="Express"/>
    <n v="947"/>
    <n v="1385"/>
    <s v="LARKIN ST / ELLIS ST"/>
    <s v="2700 Block of DIAMOND ST"/>
    <x v="0"/>
    <d v="2010-02-13T00:00:00"/>
    <d v="2010-11-30T00:00:00"/>
    <n v="0.68379999999999996"/>
  </r>
  <r>
    <n v="390"/>
    <n v="8887"/>
    <s v="Automotive"/>
    <x v="0"/>
    <s v="Regular"/>
    <n v="234"/>
    <n v="780"/>
    <s v="6500 Block of 3RD ST"/>
    <s v="800 Block of 33RD AV"/>
    <x v="0"/>
    <d v="2009-03-24T00:00:00"/>
    <d v="2009-03-09T00:00:00"/>
    <n v="0.3"/>
  </r>
  <r>
    <n v="446"/>
    <n v="9858"/>
    <s v="Food and Beverages"/>
    <x v="0"/>
    <s v="Express"/>
    <n v="931"/>
    <n v="1247"/>
    <s v="0 Block of WHITFIELD CT"/>
    <s v="1500 Block of POWELL ST"/>
    <x v="1"/>
    <d v="1993-04-25T00:00:00"/>
    <m/>
    <n v="0.74660000000000004"/>
  </r>
  <r>
    <n v="32"/>
    <n v="9636"/>
    <s v="Arts and crafts"/>
    <x v="0"/>
    <s v="Express"/>
    <n v="478"/>
    <n v="705"/>
    <s v="1100 Block of OCEAN AV"/>
    <s v="900 Block of DEHARO ST"/>
    <x v="1"/>
    <d v="2004-08-30T00:00:00"/>
    <m/>
    <n v="0.67800000000000005"/>
  </r>
  <r>
    <n v="420"/>
    <n v="9943"/>
    <s v="Industrial Equipments"/>
    <x v="0"/>
    <s v="Express"/>
    <n v="638"/>
    <n v="1130"/>
    <s v="BRYANT ST / 4TH ST"/>
    <s v="1300 Block of MISSION ST"/>
    <x v="1"/>
    <d v="1989-01-02T00:00:00"/>
    <m/>
    <n v="0.56459999999999999"/>
  </r>
  <r>
    <n v="708"/>
    <n v="1246"/>
    <s v="Industrial Equipments"/>
    <x v="0"/>
    <s v="Express"/>
    <n v="50"/>
    <n v="72"/>
    <s v="900 Block of CONNECTICUT ST"/>
    <s v="LEAVENWORTH ST / EDDY ST"/>
    <x v="0"/>
    <d v="2019-02-19T00:00:00"/>
    <d v="2019-07-31T00:00:00"/>
    <n v="0.69440000000000002"/>
  </r>
  <r>
    <n v="227"/>
    <n v="4527"/>
    <s v="Industrial Equipments"/>
    <x v="1"/>
    <s v="Regular"/>
    <n v="477"/>
    <n v="564"/>
    <s v="POLK ST / BEACH ST"/>
    <s v="700 Block of LARKIN ST"/>
    <x v="0"/>
    <d v="2002-01-25T00:00:00"/>
    <d v="2002-01-05T00:00:00"/>
    <n v="0.84570000000000001"/>
  </r>
  <r>
    <n v="595"/>
    <n v="3782"/>
    <s v="Fashion"/>
    <x v="1"/>
    <s v="Regular"/>
    <n v="879"/>
    <n v="1040"/>
    <s v="37TH AV / RIVERA ST"/>
    <s v="1200 Block of 36TH AV"/>
    <x v="1"/>
    <d v="2003-05-10T00:00:00"/>
    <m/>
    <n v="0.84519999999999995"/>
  </r>
  <r>
    <n v="211"/>
    <n v="6225"/>
    <s v="Electronics"/>
    <x v="0"/>
    <s v="Express"/>
    <n v="912"/>
    <n v="1220"/>
    <s v="FREMONT ST / HARRISON ST"/>
    <s v="0 Block of CRESTLAKE DR"/>
    <x v="0"/>
    <d v="2006-03-17T00:00:00"/>
    <d v="2006-12-23T00:00:00"/>
    <n v="0.74750000000000005"/>
  </r>
  <r>
    <n v="650"/>
    <n v="2257"/>
    <s v="Food and Beverages"/>
    <x v="1"/>
    <s v="Regular"/>
    <n v="868"/>
    <n v="1141"/>
    <s v="400 Block of GENEVA AV"/>
    <s v="POWELL ST / OFARRELL ST"/>
    <x v="1"/>
    <d v="2007-06-18T00:00:00"/>
    <m/>
    <n v="0.76070000000000004"/>
  </r>
  <r>
    <n v="45"/>
    <n v="9177"/>
    <s v="Healthcare"/>
    <x v="0"/>
    <s v="Express"/>
    <n v="889"/>
    <n v="1050"/>
    <s v="20TH ST / KANSAS ST"/>
    <s v="JEFFERSON ST / TAYLOR ST"/>
    <x v="0"/>
    <d v="1996-03-03T00:00:00"/>
    <d v="1996-05-01T00:00:00"/>
    <n v="0.84670000000000001"/>
  </r>
  <r>
    <n v="201"/>
    <n v="8703"/>
    <s v="Home Furnishing"/>
    <x v="0"/>
    <s v="Regular"/>
    <n v="482"/>
    <n v="850"/>
    <s v="4000 Block of 18TH ST"/>
    <s v="500 Block of ELLIS ST"/>
    <x v="1"/>
    <d v="1982-12-02T00:00:00"/>
    <m/>
    <n v="0.56710000000000005"/>
  </r>
  <r>
    <n v="564"/>
    <n v="3514"/>
    <s v="Healthcare"/>
    <x v="1"/>
    <s v="Express"/>
    <n v="683"/>
    <n v="1275"/>
    <s v="1400 Block of 14TH AV"/>
    <s v="1800 Block of DIVISADERO ST"/>
    <x v="0"/>
    <d v="2004-05-02T00:00:00"/>
    <d v="2004-09-25T00:00:00"/>
    <n v="0.53569999999999995"/>
  </r>
  <r>
    <n v="138"/>
    <n v="3089"/>
    <s v="Home Furnishing"/>
    <x v="0"/>
    <s v="Regular"/>
    <n v="382"/>
    <n v="714"/>
    <s v="200 Block of 2ND ST"/>
    <s v="0 Block of THRIFT ST"/>
    <x v="1"/>
    <d v="2008-02-22T00:00:00"/>
    <m/>
    <n v="0.53500000000000003"/>
  </r>
  <r>
    <n v="57"/>
    <n v="7253"/>
    <s v="Construction"/>
    <x v="0"/>
    <s v="Regular"/>
    <n v="753"/>
    <n v="1027"/>
    <s v="2900 Block of TURK ST"/>
    <s v="300 Block of DEMONTFORT AV"/>
    <x v="0"/>
    <d v="2004-03-18T00:00:00"/>
    <d v="2004-03-02T00:00:00"/>
    <n v="0.73319999999999996"/>
  </r>
  <r>
    <n v="128"/>
    <n v="8786"/>
    <s v="Arts and crafts"/>
    <x v="1"/>
    <s v="Express"/>
    <n v="718"/>
    <n v="1486"/>
    <s v="0 Block of 7TH ST"/>
    <s v="300 Block of 10TH ST"/>
    <x v="1"/>
    <d v="1992-03-22T00:00:00"/>
    <m/>
    <n v="0.48320000000000002"/>
  </r>
  <r>
    <n v="33"/>
    <n v="1211"/>
    <s v="Industrial Equipments"/>
    <x v="0"/>
    <s v="Express"/>
    <n v="577"/>
    <n v="1312"/>
    <s v="0 Block of CUMBERLAND ST"/>
    <s v="200 Block of POPLAR ST"/>
    <x v="1"/>
    <d v="1988-04-05T00:00:00"/>
    <m/>
    <n v="0.43980000000000002"/>
  </r>
  <r>
    <n v="936"/>
    <n v="359"/>
    <s v="Electronics"/>
    <x v="1"/>
    <s v="Express"/>
    <n v="607"/>
    <n v="1007"/>
    <s v="1100 Block of POLK ST"/>
    <s v="800 Block of OFARRELL ST"/>
    <x v="1"/>
    <d v="2013-02-09T00:00:00"/>
    <m/>
    <n v="0.6028"/>
  </r>
  <r>
    <n v="762"/>
    <n v="2066"/>
    <s v="Automotive"/>
    <x v="1"/>
    <s v="Regular"/>
    <n v="242"/>
    <n v="926"/>
    <s v="16TH ST / UTAH ST"/>
    <s v="400 Block of CASTRO ST"/>
    <x v="1"/>
    <d v="1978-03-21T00:00:00"/>
    <m/>
    <n v="0.26129999999999998"/>
  </r>
  <r>
    <n v="838"/>
    <n v="4322"/>
    <s v="Industrial Equipments"/>
    <x v="1"/>
    <s v="Express"/>
    <n v="593"/>
    <n v="1036"/>
    <s v="100 Block of GOLDEN GATE AV"/>
    <s v="800 Block of MISSION ST"/>
    <x v="0"/>
    <d v="1995-01-05T00:00:00"/>
    <d v="1995-08-23T00:00:00"/>
    <n v="0.57240000000000002"/>
  </r>
  <r>
    <n v="215"/>
    <n v="7773"/>
    <s v="Electronics"/>
    <x v="0"/>
    <s v="Express"/>
    <n v="812"/>
    <n v="1161"/>
    <s v="1500 Block of POLK ST"/>
    <s v="600 Block of KANSAS ST"/>
    <x v="0"/>
    <d v="1985-01-10T00:00:00"/>
    <d v="1985-01-31T00:00:00"/>
    <n v="0.69940000000000002"/>
  </r>
  <r>
    <n v="818"/>
    <n v="6746"/>
    <s v="Hazardous Goods"/>
    <x v="0"/>
    <s v="Express"/>
    <n v="833"/>
    <n v="1016"/>
    <s v="POLK ST / SUTTER ST"/>
    <s v="1200 Block of NOE ST"/>
    <x v="0"/>
    <d v="2006-08-28T00:00:00"/>
    <d v="2006-10-20T00:00:00"/>
    <n v="0.81989999999999996"/>
  </r>
  <r>
    <n v="780"/>
    <n v="6732"/>
    <s v="Healthcare"/>
    <x v="1"/>
    <s v="Express"/>
    <n v="872"/>
    <n v="1058"/>
    <s v="100 Block of BREWSTER ST"/>
    <s v="900 Block of MARKET ST"/>
    <x v="0"/>
    <d v="1989-10-12T00:00:00"/>
    <d v="1989-10-17T00:00:00"/>
    <n v="0.82420000000000004"/>
  </r>
  <r>
    <n v="40"/>
    <n v="805"/>
    <s v="Arts and crafts"/>
    <x v="0"/>
    <s v="Regular"/>
    <n v="483"/>
    <n v="648"/>
    <s v="0 Block of TURK ST"/>
    <s v="900 Block of CAPITOL AV"/>
    <x v="1"/>
    <d v="1980-05-03T00:00:00"/>
    <m/>
    <n v="0.74539999999999995"/>
  </r>
  <r>
    <n v="366"/>
    <n v="7540"/>
    <s v="Fashion"/>
    <x v="1"/>
    <s v="Regular"/>
    <n v="679"/>
    <n v="1015"/>
    <s v="1700 Block of SUNNYDALE AV"/>
    <s v="400 Block of BAKER ST"/>
    <x v="0"/>
    <d v="1980-03-01T00:00:00"/>
    <d v="1980-03-16T00:00:00"/>
    <n v="0.66900000000000004"/>
  </r>
  <r>
    <n v="678"/>
    <n v="5269"/>
    <s v="Hazardous Goods"/>
    <x v="1"/>
    <s v="Express"/>
    <n v="318"/>
    <n v="938"/>
    <s v="SOUTH VAN NESS AV / 13TH ST"/>
    <s v="100 Block of LELAND AV"/>
    <x v="1"/>
    <d v="1994-01-15T00:00:00"/>
    <m/>
    <n v="0.33900000000000002"/>
  </r>
  <r>
    <n v="703"/>
    <n v="8404"/>
    <s v="Home Furnishing"/>
    <x v="0"/>
    <s v="Express"/>
    <n v="329"/>
    <n v="597"/>
    <s v="22ND ST / CAROLINA ST"/>
    <s v="2600 Block of FOLSOM ST"/>
    <x v="1"/>
    <d v="2017-01-25T00:00:00"/>
    <m/>
    <n v="0.55110000000000003"/>
  </r>
  <r>
    <n v="180"/>
    <n v="519"/>
    <s v="Luggage"/>
    <x v="0"/>
    <s v="Regular"/>
    <n v="588"/>
    <n v="1182"/>
    <s v="POWELL ST / GEARY ST"/>
    <s v="3RD ST / PALOU AV"/>
    <x v="1"/>
    <d v="1975-04-01T00:00:00"/>
    <m/>
    <n v="0.4975"/>
  </r>
  <r>
    <n v="214"/>
    <n v="4060"/>
    <s v="Food and Beverages"/>
    <x v="1"/>
    <s v="Regular"/>
    <n v="442"/>
    <n v="713"/>
    <s v="2500 Block of MISSION ST"/>
    <s v="2600 Block of 34TH AV"/>
    <x v="0"/>
    <d v="1987-03-06T00:00:00"/>
    <d v="1987-08-09T00:00:00"/>
    <n v="0.61990000000000001"/>
  </r>
  <r>
    <n v="408"/>
    <n v="8860"/>
    <s v="Hazardous Goods"/>
    <x v="0"/>
    <s v="Express"/>
    <n v="216"/>
    <n v="939"/>
    <s v="600 Block of VALENCIA ST"/>
    <s v="500 Block of 9TH ST"/>
    <x v="0"/>
    <d v="1990-02-21T00:00:00"/>
    <d v="1990-09-11T00:00:00"/>
    <n v="0.23"/>
  </r>
  <r>
    <n v="902"/>
    <n v="7164"/>
    <s v="Construction"/>
    <x v="0"/>
    <s v="Express"/>
    <n v="946"/>
    <n v="1082"/>
    <s v="300 Block of OFARRELL ST"/>
    <s v="0 Block of RAE AV"/>
    <x v="0"/>
    <d v="1989-01-06T00:00:00"/>
    <d v="1989-09-17T00:00:00"/>
    <n v="0.87429999999999997"/>
  </r>
  <r>
    <n v="763"/>
    <n v="9792"/>
    <s v="Luggage"/>
    <x v="1"/>
    <s v="Express"/>
    <n v="796"/>
    <n v="1347"/>
    <s v="1700 Block of FULTON ST"/>
    <s v="100 Block of GOLDEN GATE AV"/>
    <x v="0"/>
    <d v="2014-06-29T00:00:00"/>
    <d v="2014-09-09T00:00:00"/>
    <n v="0.59089999999999998"/>
  </r>
  <r>
    <n v="168"/>
    <n v="9934"/>
    <s v="Arts and crafts"/>
    <x v="0"/>
    <s v="Regular"/>
    <n v="26"/>
    <n v="47"/>
    <s v="DIVISADERO ST / JACKSON ST"/>
    <s v="0 Block of DESOTO ST"/>
    <x v="0"/>
    <d v="1997-01-05T00:00:00"/>
    <d v="1997-06-12T00:00:00"/>
    <n v="0.55320000000000003"/>
  </r>
  <r>
    <n v="723"/>
    <n v="1980"/>
    <s v="Automotive"/>
    <x v="0"/>
    <s v="Express"/>
    <n v="490"/>
    <n v="762"/>
    <s v="SILLIMAN ST / BOWDOIN ST"/>
    <s v="200 Block of LEAVENWORTH ST"/>
    <x v="1"/>
    <d v="1981-07-23T00:00:00"/>
    <m/>
    <n v="0.64300000000000002"/>
  </r>
  <r>
    <n v="438"/>
    <n v="9251"/>
    <s v="Home Furnishing"/>
    <x v="0"/>
    <s v="Regular"/>
    <n v="430"/>
    <n v="642"/>
    <s v="2300 Block of CHESTNUT ST"/>
    <s v="LAKE MERCED BL / SUNSET BL"/>
    <x v="0"/>
    <d v="1977-03-26T00:00:00"/>
    <d v="1977-03-30T00:00:00"/>
    <n v="0.66979999999999995"/>
  </r>
  <r>
    <n v="162"/>
    <n v="6717"/>
    <s v="Arts and crafts"/>
    <x v="0"/>
    <s v="Express"/>
    <n v="209"/>
    <n v="665"/>
    <s v="500 Block of VALENCIA ST"/>
    <s v="6TH ST / STEVENSON ST"/>
    <x v="0"/>
    <d v="1982-06-10T00:00:00"/>
    <d v="1982-10-29T00:00:00"/>
    <n v="0.31430000000000002"/>
  </r>
  <r>
    <n v="246"/>
    <n v="3622"/>
    <s v="Automotive"/>
    <x v="1"/>
    <s v="Express"/>
    <n v="379"/>
    <n v="963"/>
    <s v="800 Block of 47TH AV"/>
    <s v="0 Block of LURLINE ST"/>
    <x v="0"/>
    <d v="2019-03-03T00:00:00"/>
    <d v="2019-03-01T00:00:00"/>
    <n v="0.39360000000000001"/>
  </r>
  <r>
    <n v="105"/>
    <n v="8808"/>
    <s v="Industrial Equipments"/>
    <x v="0"/>
    <s v="Regular"/>
    <n v="949"/>
    <n v="1419"/>
    <s v="KEITH ST / THOMAS AV"/>
    <s v="100 Block of CAPP ST"/>
    <x v="1"/>
    <d v="1997-08-27T00:00:00"/>
    <m/>
    <n v="0.66879999999999995"/>
  </r>
  <r>
    <n v="308"/>
    <n v="4920"/>
    <s v="Electronics"/>
    <x v="0"/>
    <s v="Express"/>
    <n v="438"/>
    <n v="656"/>
    <s v="LYON ST / OFARRELL ST"/>
    <s v="1200 Block of NOE ST"/>
    <x v="1"/>
    <d v="1979-01-28T00:00:00"/>
    <m/>
    <n v="0.66769999999999996"/>
  </r>
  <r>
    <n v="172"/>
    <n v="3140"/>
    <s v="Food and Beverages"/>
    <x v="1"/>
    <s v="Express"/>
    <n v="726"/>
    <n v="1381"/>
    <s v="0 Block of HARRISON ST"/>
    <s v="1200 Block of GOLDEN GATE AV"/>
    <x v="0"/>
    <d v="2004-10-29T00:00:00"/>
    <d v="2004-10-26T00:00:00"/>
    <n v="0.52569999999999995"/>
  </r>
  <r>
    <n v="775"/>
    <n v="8104"/>
    <s v="Home Furnishing"/>
    <x v="0"/>
    <s v="Express"/>
    <n v="451"/>
    <n v="713"/>
    <s v="0 Block of 6TH ST"/>
    <s v="1400 Block of RANKIN ST"/>
    <x v="1"/>
    <d v="2004-09-28T00:00:00"/>
    <m/>
    <n v="0.63249999999999995"/>
  </r>
  <r>
    <n v="333"/>
    <n v="2208"/>
    <s v="Luggage"/>
    <x v="0"/>
    <s v="Regular"/>
    <n v="812"/>
    <n v="1104"/>
    <s v="1800 Block of DONNER AV"/>
    <s v="19TH AV / LINCOLN WY"/>
    <x v="0"/>
    <d v="2013-01-12T00:00:00"/>
    <d v="2013-08-11T00:00:00"/>
    <n v="0.73550000000000004"/>
  </r>
  <r>
    <n v="548"/>
    <n v="7043"/>
    <s v="Healthcare"/>
    <x v="1"/>
    <s v="Regular"/>
    <n v="240"/>
    <n v="571"/>
    <s v="800 Block of INGERSON AV"/>
    <s v="MISSION ST / 2ND ST"/>
    <x v="1"/>
    <d v="2012-06-17T00:00:00"/>
    <m/>
    <n v="0.42030000000000001"/>
  </r>
  <r>
    <n v="665"/>
    <n v="7485"/>
    <s v="Arts and crafts"/>
    <x v="0"/>
    <s v="Regular"/>
    <n v="982"/>
    <n v="1405"/>
    <s v="1300 Block of REVERE AV"/>
    <s v="0 Block of WILLIAR AV"/>
    <x v="0"/>
    <d v="2010-01-12T00:00:00"/>
    <d v="2010-04-27T00:00:00"/>
    <n v="0.69889999999999997"/>
  </r>
  <r>
    <n v="305"/>
    <n v="1748"/>
    <s v="Automotive"/>
    <x v="0"/>
    <s v="Express"/>
    <n v="954"/>
    <n v="1473"/>
    <s v="0 Block of DORE ST"/>
    <s v="100 Block of TURK ST"/>
    <x v="0"/>
    <d v="1992-08-11T00:00:00"/>
    <d v="1992-11-01T00:00:00"/>
    <n v="0.64770000000000005"/>
  </r>
  <r>
    <n v="938"/>
    <n v="9968"/>
    <s v="Hazardous Goods"/>
    <x v="0"/>
    <s v="Regular"/>
    <n v="35"/>
    <n v="20"/>
    <s v="1200 Block of THE EMBARCADERONORTH ST"/>
    <s v="500 Block of BRANNAN ST"/>
    <x v="1"/>
    <d v="2018-12-21T00:00:00"/>
    <m/>
    <n v="1.75"/>
  </r>
  <r>
    <n v="714"/>
    <n v="5330"/>
    <s v="Electronics"/>
    <x v="0"/>
    <s v="Express"/>
    <n v="148"/>
    <n v="835"/>
    <s v="PIERCE ST / LOMBARD ST"/>
    <s v="8TH AV / CLEMENT ST"/>
    <x v="0"/>
    <d v="2011-04-22T00:00:00"/>
    <d v="2011-06-08T00:00:00"/>
    <n v="0.1772"/>
  </r>
  <r>
    <n v="251"/>
    <n v="2183"/>
    <s v="Food and Beverages"/>
    <x v="1"/>
    <s v="Regular"/>
    <n v="422"/>
    <n v="651"/>
    <s v="1700 Block of NEWCOMB AV"/>
    <s v="1500 Block of LASALLE AV"/>
    <x v="0"/>
    <d v="2003-10-25T00:00:00"/>
    <d v="2003-12-02T00:00:00"/>
    <n v="0.6482"/>
  </r>
  <r>
    <n v="330"/>
    <n v="2182"/>
    <s v="Home Furnishing"/>
    <x v="0"/>
    <s v="Express"/>
    <n v="275"/>
    <n v="653"/>
    <s v="2300 Block of 25TH AV"/>
    <s v="HOLLYPARK CR / MURRAY ST"/>
    <x v="1"/>
    <d v="2012-02-08T00:00:00"/>
    <m/>
    <n v="0.42109999999999997"/>
  </r>
  <r>
    <n v="69"/>
    <n v="1087"/>
    <s v="Healthcare"/>
    <x v="0"/>
    <s v="Regular"/>
    <n v="367"/>
    <n v="740"/>
    <s v="2000 Block of MISSION ST"/>
    <s v="2400 Block of SAN BRUNO AV"/>
    <x v="0"/>
    <d v="2018-03-14T00:00:00"/>
    <d v="2018-08-30T00:00:00"/>
    <n v="0.49590000000000001"/>
  </r>
  <r>
    <n v="969"/>
    <n v="4296"/>
    <s v="Industrial Equipments"/>
    <x v="1"/>
    <s v="Express"/>
    <n v="507"/>
    <n v="1334"/>
    <s v="1100 Block of CONNECTICUT ST"/>
    <s v="1700 Block of 22ND AV"/>
    <x v="0"/>
    <d v="2013-03-19T00:00:00"/>
    <d v="2013-03-09T00:00:00"/>
    <n v="0.38009999999999999"/>
  </r>
  <r>
    <n v="974"/>
    <n v="9784"/>
    <s v="Automotive"/>
    <x v="1"/>
    <s v="Regular"/>
    <n v="442"/>
    <n v="770"/>
    <s v="1000 Block of POTRERO AV"/>
    <s v="0 Block of LEAVENWORTH ST"/>
    <x v="0"/>
    <d v="2013-04-23T00:00:00"/>
    <d v="2013-06-21T00:00:00"/>
    <n v="0.57399999999999995"/>
  </r>
  <r>
    <n v="526"/>
    <n v="6210"/>
    <s v="Arts and crafts"/>
    <x v="1"/>
    <s v="Regular"/>
    <n v="510"/>
    <n v="1205"/>
    <s v="500 Block of 41ST AV"/>
    <s v="500 Block of GUERRERO ST"/>
    <x v="0"/>
    <d v="1991-02-10T00:00:00"/>
    <d v="1991-07-03T00:00:00"/>
    <n v="0.42320000000000002"/>
  </r>
  <r>
    <n v="510"/>
    <n v="5781"/>
    <s v="Fashion"/>
    <x v="1"/>
    <s v="Regular"/>
    <n v="117"/>
    <n v="716"/>
    <s v="700 Block of MARKET ST"/>
    <s v="ELLIS ST / HYDE ST"/>
    <x v="1"/>
    <d v="1976-10-04T00:00:00"/>
    <m/>
    <n v="0.16339999999999999"/>
  </r>
  <r>
    <n v="444"/>
    <n v="8306"/>
    <s v="Construction"/>
    <x v="0"/>
    <s v="Express"/>
    <n v="973"/>
    <n v="1250"/>
    <s v="0 Block of CASTLEMANOR AV"/>
    <s v="LANE ST / REVERE AV"/>
    <x v="1"/>
    <d v="1987-10-25T00:00:00"/>
    <m/>
    <n v="0.77839999999999998"/>
  </r>
  <r>
    <n v="503"/>
    <n v="3270"/>
    <s v="Food and Beverages"/>
    <x v="0"/>
    <s v="Regular"/>
    <n v="243"/>
    <n v="935"/>
    <s v="GEARY ST / HYDE ST"/>
    <s v="1200 Block of MARKET ST"/>
    <x v="0"/>
    <d v="1974-03-26T00:00:00"/>
    <d v="1974-05-25T00:00:00"/>
    <n v="0.25990000000000002"/>
  </r>
  <r>
    <n v="109"/>
    <n v="6787"/>
    <s v="Luggage"/>
    <x v="0"/>
    <s v="Express"/>
    <n v="715"/>
    <n v="1185"/>
    <s v="2000 Block of MISSION ST"/>
    <s v="500 Block of 39TH AV"/>
    <x v="1"/>
    <d v="2014-05-18T00:00:00"/>
    <m/>
    <n v="0.60340000000000005"/>
  </r>
  <r>
    <n v="823"/>
    <n v="3733"/>
    <s v="Healthcare"/>
    <x v="0"/>
    <s v="Express"/>
    <n v="571"/>
    <n v="1031"/>
    <s v="700 Block of STANYAN ST"/>
    <s v="600 Block of MISSION ST"/>
    <x v="0"/>
    <d v="1975-05-18T00:00:00"/>
    <d v="1975-05-20T00:00:00"/>
    <n v="0.55379999999999996"/>
  </r>
  <r>
    <n v="147"/>
    <n v="207"/>
    <s v="Industrial Equipments"/>
    <x v="0"/>
    <s v="Express"/>
    <n v="369"/>
    <n v="646"/>
    <s v="300 Block of ATHENS ST"/>
    <s v="1400 Block of CLAY ST"/>
    <x v="0"/>
    <d v="2005-03-20T00:00:00"/>
    <d v="2005-09-15T00:00:00"/>
    <n v="0.57120000000000004"/>
  </r>
  <r>
    <n v="625"/>
    <n v="3"/>
    <s v="Industrial Equipments"/>
    <x v="1"/>
    <s v="Regular"/>
    <n v="318"/>
    <n v="980"/>
    <s v="5600 Block of DIAMONDHEIGHTS BL"/>
    <s v="100 Block of ELLIOT ST"/>
    <x v="1"/>
    <d v="2018-10-03T00:00:00"/>
    <m/>
    <n v="0.32450000000000001"/>
  </r>
  <r>
    <n v="695"/>
    <n v="1896"/>
    <s v="Food and Beverages"/>
    <x v="0"/>
    <s v="Regular"/>
    <n v="266"/>
    <n v="833"/>
    <s v="2000 Block of MISSION ST"/>
    <s v="4600 Block of IRVING ST"/>
    <x v="1"/>
    <d v="2013-09-25T00:00:00"/>
    <m/>
    <n v="0.31929999999999997"/>
  </r>
  <r>
    <n v="983"/>
    <n v="9631"/>
    <s v="Home Furnishing"/>
    <x v="1"/>
    <s v="Regular"/>
    <n v="60"/>
    <n v="166"/>
    <s v="200 Block of TURK ST"/>
    <s v="0 Block of ANKENY ST"/>
    <x v="1"/>
    <d v="1993-07-09T00:00:00"/>
    <m/>
    <n v="0.3614"/>
  </r>
  <r>
    <n v="82"/>
    <n v="3132"/>
    <s v="Luggage"/>
    <x v="1"/>
    <s v="Express"/>
    <n v="121"/>
    <n v="557"/>
    <s v="NATOMA ST / 2ND ST"/>
    <s v="3500 Block of MISSION ST"/>
    <x v="1"/>
    <d v="1997-05-29T00:00:00"/>
    <m/>
    <n v="0.2172"/>
  </r>
  <r>
    <n v="397"/>
    <n v="1202"/>
    <s v="Automotive"/>
    <x v="1"/>
    <s v="Express"/>
    <n v="876"/>
    <n v="1045"/>
    <s v="1600 Block of DONNER AV"/>
    <s v="800 Block of LARKIN ST"/>
    <x v="1"/>
    <d v="2004-02-29T00:00:00"/>
    <m/>
    <n v="0.83830000000000005"/>
  </r>
  <r>
    <n v="599"/>
    <n v="8834"/>
    <s v="Industrial Equipments"/>
    <x v="0"/>
    <s v="Regular"/>
    <n v="946"/>
    <n v="1100"/>
    <s v="400 Block of ELLIS ST"/>
    <s v="800 Block of MOSCOW ST"/>
    <x v="1"/>
    <d v="2001-08-31T00:00:00"/>
    <m/>
    <n v="0.86"/>
  </r>
  <r>
    <n v="306"/>
    <n v="1201"/>
    <s v="Hazardous Goods"/>
    <x v="0"/>
    <s v="Regular"/>
    <n v="654"/>
    <n v="1150"/>
    <s v="100 Block of LEAVENWORTH ST"/>
    <s v="100 Block of PERSIA AV"/>
    <x v="0"/>
    <d v="1983-01-28T00:00:00"/>
    <d v="1983-07-22T00:00:00"/>
    <n v="0.56869999999999998"/>
  </r>
  <r>
    <n v="536"/>
    <n v="2573"/>
    <s v="Construction"/>
    <x v="0"/>
    <s v="Express"/>
    <n v="74"/>
    <n v="281"/>
    <s v="100 Block of POWELL ST"/>
    <s v="0 Block of TAYLOR ST"/>
    <x v="0"/>
    <d v="2016-09-23T00:00:00"/>
    <d v="2016-09-21T00:00:00"/>
    <n v="0.26329999999999998"/>
  </r>
  <r>
    <n v="20"/>
    <n v="6759"/>
    <s v="Construction"/>
    <x v="0"/>
    <s v="Regular"/>
    <n v="630"/>
    <n v="1062"/>
    <s v="1600 Block of 39TH AV"/>
    <s v="PARNASSUS AV / CLAYTON ST"/>
    <x v="1"/>
    <d v="2017-09-29T00:00:00"/>
    <m/>
    <n v="0.59319999999999995"/>
  </r>
  <r>
    <n v="515"/>
    <n v="2601"/>
    <s v="Healthcare"/>
    <x v="0"/>
    <s v="Express"/>
    <n v="782"/>
    <n v="1425"/>
    <s v="MARKET ST / CHURCH ST"/>
    <s v="LOMBARD ST / LEAVENWORTH ST"/>
    <x v="1"/>
    <d v="1996-01-01T00:00:00"/>
    <m/>
    <n v="0.54879999999999995"/>
  </r>
  <r>
    <n v="332"/>
    <n v="2656"/>
    <s v="Luggage"/>
    <x v="1"/>
    <s v="Regular"/>
    <n v="45"/>
    <n v="39"/>
    <s v="100 Block of UPPER TR"/>
    <s v="POST ST / HYDE ST"/>
    <x v="1"/>
    <d v="2008-09-14T00:00:00"/>
    <m/>
    <n v="1.1537999999999999"/>
  </r>
  <r>
    <n v="127"/>
    <n v="9645"/>
    <s v="Luggage"/>
    <x v="1"/>
    <s v="Express"/>
    <n v="916"/>
    <n v="1143"/>
    <s v="300 Block of SALINAS AV"/>
    <s v="1900 Block of FILLMORE ST"/>
    <x v="0"/>
    <d v="2006-01-08T00:00:00"/>
    <d v="2006-01-09T00:00:00"/>
    <n v="0.8014"/>
  </r>
  <r>
    <n v="958"/>
    <n v="584"/>
    <s v="Hazardous Goods"/>
    <x v="1"/>
    <s v="Express"/>
    <n v="274"/>
    <n v="669"/>
    <s v="0 Block of GOLDEN GATE AV"/>
    <s v="900 Block of MARIPOSA ST"/>
    <x v="1"/>
    <d v="2016-02-24T00:00:00"/>
    <m/>
    <n v="0.40960000000000002"/>
  </r>
  <r>
    <n v="42"/>
    <n v="2121"/>
    <s v="Arts and crafts"/>
    <x v="0"/>
    <s v="Regular"/>
    <n v="987"/>
    <n v="1134"/>
    <s v="MINNA ST / 5TH ST"/>
    <s v="MARKET ST / 5TH ST"/>
    <x v="0"/>
    <d v="1979-01-20T00:00:00"/>
    <d v="1979-09-12T00:00:00"/>
    <n v="0.87039999999999995"/>
  </r>
  <r>
    <n v="977"/>
    <n v="2142"/>
    <s v="Arts and crafts"/>
    <x v="1"/>
    <s v="Regular"/>
    <n v="434"/>
    <n v="558"/>
    <s v="200 Block of MISSOURI ST"/>
    <s v="900 Block of ELLSWORTH ST"/>
    <x v="0"/>
    <d v="2002-02-03T00:00:00"/>
    <d v="2002-10-20T00:00:00"/>
    <n v="0.77780000000000005"/>
  </r>
  <r>
    <n v="460"/>
    <n v="2396"/>
    <s v="Electronics"/>
    <x v="1"/>
    <s v="Express"/>
    <n v="897"/>
    <n v="1313"/>
    <s v="100 Block of EDDY ST"/>
    <s v="1400 Block of KIRKWOOD CT"/>
    <x v="0"/>
    <d v="2005-04-16T00:00:00"/>
    <d v="2005-09-15T00:00:00"/>
    <n v="0.68320000000000003"/>
  </r>
  <r>
    <n v="659"/>
    <n v="8747"/>
    <s v="Automotive"/>
    <x v="1"/>
    <s v="Regular"/>
    <n v="442"/>
    <n v="595"/>
    <s v="0 Block of UNITEDNATIONS PZ"/>
    <s v="200 Block of HAHN ST"/>
    <x v="0"/>
    <d v="1998-02-21T00:00:00"/>
    <d v="1998-09-11T00:00:00"/>
    <n v="0.7429"/>
  </r>
  <r>
    <n v="197"/>
    <n v="4142"/>
    <s v="Food and Beverages"/>
    <x v="0"/>
    <s v="Express"/>
    <n v="98"/>
    <n v="360"/>
    <s v="300 Block of BUCHANAN ST"/>
    <s v="2800 Block of BRYANT ST"/>
    <x v="0"/>
    <d v="1989-03-29T00:00:00"/>
    <d v="1989-08-23T00:00:00"/>
    <n v="0.2722"/>
  </r>
  <r>
    <n v="540"/>
    <n v="9770"/>
    <s v="Luggage"/>
    <x v="1"/>
    <s v="Express"/>
    <n v="431"/>
    <n v="934"/>
    <s v="4000 Block of GEARY BL"/>
    <s v="1000 Block of POTRERO AV"/>
    <x v="0"/>
    <d v="1977-04-21T00:00:00"/>
    <d v="1977-11-08T00:00:00"/>
    <n v="0.46150000000000002"/>
  </r>
  <r>
    <n v="178"/>
    <n v="2593"/>
    <s v="Construction"/>
    <x v="1"/>
    <s v="Express"/>
    <n v="745"/>
    <n v="1383"/>
    <s v="3100 Block of 23RD ST"/>
    <s v="GEARY ST / POWELL ST"/>
    <x v="0"/>
    <d v="2009-01-01T00:00:00"/>
    <d v="2009-01-26T00:00:00"/>
    <n v="0.53869999999999996"/>
  </r>
  <r>
    <n v="202"/>
    <n v="9807"/>
    <s v="Home Furnishing"/>
    <x v="1"/>
    <s v="Express"/>
    <n v="871"/>
    <n v="1274"/>
    <s v="200 Block of HAHN ST"/>
    <s v="600 Block of VALENCIA ST"/>
    <x v="0"/>
    <d v="2001-01-27T00:00:00"/>
    <d v="2001-08-03T00:00:00"/>
    <n v="0.68369999999999997"/>
  </r>
  <r>
    <n v="632"/>
    <n v="2525"/>
    <s v="Industrial Equipments"/>
    <x v="0"/>
    <s v="Regular"/>
    <n v="67"/>
    <n v="193"/>
    <s v="CAPP ST / 17TH ST"/>
    <s v="ALEMANY BL / ELLSWORTH ST"/>
    <x v="0"/>
    <d v="1992-08-26T00:00:00"/>
    <d v="1992-12-25T00:00:00"/>
    <n v="0.34720000000000001"/>
  </r>
  <r>
    <n v="25"/>
    <n v="1724"/>
    <s v="Home Furnishing"/>
    <x v="0"/>
    <s v="Express"/>
    <n v="431"/>
    <n v="702"/>
    <s v="4TH ST / HARRISON ST"/>
    <s v="600 Block of CLAY ST"/>
    <x v="0"/>
    <d v="2004-05-29T00:00:00"/>
    <d v="2004-05-17T00:00:00"/>
    <n v="0.61399999999999999"/>
  </r>
  <r>
    <n v="990"/>
    <n v="7146"/>
    <s v="Construction"/>
    <x v="1"/>
    <s v="Regular"/>
    <n v="178"/>
    <n v="646"/>
    <s v="700 Block of BATTERY ST"/>
    <s v="0 Block of MARINA BL"/>
    <x v="0"/>
    <d v="2003-05-18T00:00:00"/>
    <d v="2003-11-28T00:00:00"/>
    <n v="0.27550000000000002"/>
  </r>
  <r>
    <n v="913"/>
    <n v="563"/>
    <s v="Home Furnishing"/>
    <x v="0"/>
    <s v="Express"/>
    <n v="180"/>
    <n v="755"/>
    <s v="5TH ST / MARKET ST"/>
    <s v="MONTGOMERY ST / VALLEJO ST"/>
    <x v="1"/>
    <d v="1974-05-08T00:00:00"/>
    <m/>
    <n v="0.2384"/>
  </r>
  <r>
    <n v="371"/>
    <n v="7771"/>
    <s v="Arts and crafts"/>
    <x v="0"/>
    <s v="Express"/>
    <n v="280"/>
    <n v="990"/>
    <s v="2400 Block of MISSION ST"/>
    <s v="BEACH ST / TAYLOR ST"/>
    <x v="1"/>
    <d v="1975-07-03T00:00:00"/>
    <m/>
    <n v="0.2828"/>
  </r>
  <r>
    <n v="514"/>
    <n v="4789"/>
    <s v="Hazardous Goods"/>
    <x v="0"/>
    <s v="Express"/>
    <n v="263"/>
    <n v="965"/>
    <s v="TARAVAL ST / 17TH AV"/>
    <s v="EDDY ST / MASON ST"/>
    <x v="1"/>
    <d v="1982-05-18T00:00:00"/>
    <m/>
    <n v="0.27250000000000002"/>
  </r>
  <r>
    <n v="707"/>
    <n v="3221"/>
    <s v="Automotive"/>
    <x v="0"/>
    <s v="Regular"/>
    <n v="187"/>
    <n v="931"/>
    <s v="19TH ST / SHOTWELL ST"/>
    <s v="7TH ST / STEVENSON ST"/>
    <x v="1"/>
    <d v="2007-06-19T00:00:00"/>
    <m/>
    <n v="0.2009"/>
  </r>
  <r>
    <n v="473"/>
    <n v="5197"/>
    <s v="Arts and crafts"/>
    <x v="1"/>
    <s v="Regular"/>
    <n v="94"/>
    <n v="361"/>
    <s v="2300 Block of 14TH AV"/>
    <s v="0 Block of 12TH ST"/>
    <x v="0"/>
    <d v="2012-01-25T00:00:00"/>
    <d v="2012-01-17T00:00:00"/>
    <n v="0.26040000000000002"/>
  </r>
  <r>
    <n v="847"/>
    <n v="8183"/>
    <s v="Fashion"/>
    <x v="1"/>
    <s v="Express"/>
    <n v="906"/>
    <n v="1297"/>
    <s v="2100 Block of MISSION ST"/>
    <s v="1100 Block of FOLSOM ST"/>
    <x v="1"/>
    <d v="1983-04-17T00:00:00"/>
    <m/>
    <n v="0.69850000000000001"/>
  </r>
  <r>
    <n v="815"/>
    <n v="1126"/>
    <s v="Healthcare"/>
    <x v="1"/>
    <s v="Regular"/>
    <n v="71"/>
    <n v="130"/>
    <s v="1400 Block of VANDYKE AV"/>
    <s v="EDDY ST / VANNESS AV"/>
    <x v="0"/>
    <d v="2010-01-30T00:00:00"/>
    <d v="2010-03-02T00:00:00"/>
    <n v="0.54620000000000002"/>
  </r>
  <r>
    <n v="928"/>
    <n v="4899"/>
    <s v="Hazardous Goods"/>
    <x v="1"/>
    <s v="Express"/>
    <n v="253"/>
    <n v="904"/>
    <s v="800 Block of MARKET ST"/>
    <s v="800 Block of MARKET ST"/>
    <x v="1"/>
    <d v="1973-09-05T00:00:00"/>
    <m/>
    <n v="0.27989999999999998"/>
  </r>
  <r>
    <n v="210"/>
    <n v="4732"/>
    <s v="Home Furnishing"/>
    <x v="1"/>
    <s v="Express"/>
    <n v="591"/>
    <n v="1433"/>
    <s v="300 Block of COLLINGWOOD ST"/>
    <s v="900 Block of MARKET ST"/>
    <x v="1"/>
    <d v="2005-10-23T00:00:00"/>
    <m/>
    <n v="0.41239999999999999"/>
  </r>
  <r>
    <n v="793"/>
    <n v="4103"/>
    <s v="Automotive"/>
    <x v="0"/>
    <s v="Regular"/>
    <n v="399"/>
    <n v="835"/>
    <s v="400 Block of ELLIS ST"/>
    <s v="17TH ST / SHOTWELL ST"/>
    <x v="1"/>
    <d v="1996-07-06T00:00:00"/>
    <m/>
    <n v="0.4778"/>
  </r>
  <r>
    <n v="872"/>
    <n v="7861"/>
    <s v="Automotive"/>
    <x v="1"/>
    <s v="Express"/>
    <n v="91"/>
    <n v="242"/>
    <s v="21ST ST / POTRERO AV"/>
    <s v="400 Block of GENEVA AV"/>
    <x v="0"/>
    <d v="2008-05-21T00:00:00"/>
    <d v="2008-05-17T00:00:00"/>
    <n v="0.376"/>
  </r>
  <r>
    <n v="298"/>
    <n v="7764"/>
    <s v="Hazardous Goods"/>
    <x v="1"/>
    <s v="Regular"/>
    <n v="717"/>
    <n v="1297"/>
    <s v="200 Block of 11TH AV"/>
    <s v="400 Block of TURK ST"/>
    <x v="1"/>
    <d v="1979-05-13T00:00:00"/>
    <m/>
    <n v="0.55279999999999996"/>
  </r>
  <r>
    <n v="941"/>
    <n v="5345"/>
    <s v="Food and Beverages"/>
    <x v="1"/>
    <s v="Regular"/>
    <n v="735"/>
    <n v="1181"/>
    <s v="17TH ST / FOLSOM ST"/>
    <s v="400 Block of BRIGHT ST"/>
    <x v="0"/>
    <d v="2010-07-01T00:00:00"/>
    <d v="2010-08-28T00:00:00"/>
    <n v="0.62239999999999995"/>
  </r>
  <r>
    <n v="731"/>
    <n v="6191"/>
    <s v="Hazardous Goods"/>
    <x v="0"/>
    <s v="Express"/>
    <n v="970"/>
    <n v="1242"/>
    <s v="KEITH ST / SHAFTER AV"/>
    <s v="0 Block of SPOFFORD LN"/>
    <x v="1"/>
    <d v="1983-07-05T00:00:00"/>
    <m/>
    <n v="0.78100000000000003"/>
  </r>
  <r>
    <n v="500"/>
    <n v="310"/>
    <s v="Arts and crafts"/>
    <x v="0"/>
    <s v="Regular"/>
    <n v="80"/>
    <n v="236"/>
    <s v="900 Block of LARKIN ST"/>
    <s v="900 Block of STOCKTON ST"/>
    <x v="1"/>
    <d v="1980-07-05T00:00:00"/>
    <m/>
    <n v="0.33900000000000002"/>
  </r>
  <r>
    <n v="142"/>
    <n v="3095"/>
    <s v="Arts and crafts"/>
    <x v="0"/>
    <s v="Express"/>
    <n v="550"/>
    <n v="1171"/>
    <s v="400 Block of TURK ST"/>
    <s v="MADRID ST / RUSSIA AV"/>
    <x v="1"/>
    <d v="1983-08-21T00:00:00"/>
    <m/>
    <n v="0.46970000000000001"/>
  </r>
  <r>
    <n v="787"/>
    <n v="2159"/>
    <s v="Arts and crafts"/>
    <x v="1"/>
    <s v="Express"/>
    <n v="187"/>
    <n v="864"/>
    <s v="0 Block of OFARRELL ST"/>
    <s v="200 Block of TURK ST"/>
    <x v="0"/>
    <d v="2011-03-28T00:00:00"/>
    <d v="2011-06-25T00:00:00"/>
    <n v="0.21640000000000001"/>
  </r>
  <r>
    <n v="749"/>
    <n v="3569"/>
    <s v="Automotive"/>
    <x v="1"/>
    <s v="Express"/>
    <n v="262"/>
    <n v="875"/>
    <s v="0 Block of PAYSON ST"/>
    <s v="0 Block of POWELL ST"/>
    <x v="0"/>
    <d v="2014-04-30T00:00:00"/>
    <d v="2014-07-02T00:00:00"/>
    <n v="0.2994"/>
  </r>
  <r>
    <n v="304"/>
    <n v="5958"/>
    <s v="Food and Beverages"/>
    <x v="0"/>
    <s v="Regular"/>
    <n v="540"/>
    <n v="1172"/>
    <s v="500 Block of STEVENSON ST"/>
    <s v="HYDE ST / TURK ST"/>
    <x v="0"/>
    <d v="2004-03-20T00:00:00"/>
    <d v="2004-09-25T00:00:00"/>
    <n v="0.46079999999999999"/>
  </r>
  <r>
    <n v="30"/>
    <n v="1275"/>
    <s v="Fashion"/>
    <x v="0"/>
    <s v="Regular"/>
    <n v="581"/>
    <n v="1422"/>
    <s v="CALIFORNIA ST / DAVIS ST"/>
    <s v="0 Block of STOCKTON ST"/>
    <x v="0"/>
    <d v="2010-02-19T00:00:00"/>
    <d v="2010-03-09T00:00:00"/>
    <n v="0.40860000000000002"/>
  </r>
  <r>
    <n v="477"/>
    <n v="6357"/>
    <s v="Fashion"/>
    <x v="1"/>
    <s v="Regular"/>
    <n v="840"/>
    <n v="1061"/>
    <s v="400 Block of LEAVENWORTH ST"/>
    <s v="NEWCOMB AV / 3RD ST"/>
    <x v="1"/>
    <d v="1986-09-07T00:00:00"/>
    <m/>
    <n v="0.79169999999999996"/>
  </r>
  <r>
    <n v="52"/>
    <n v="4551"/>
    <s v="Hazardous Goods"/>
    <x v="0"/>
    <s v="Express"/>
    <n v="873"/>
    <n v="1199"/>
    <s v="1000 Block of COLUMBUS AV"/>
    <s v="1400 Block of PHELPS ST"/>
    <x v="1"/>
    <d v="2016-05-20T00:00:00"/>
    <m/>
    <n v="0.72809999999999997"/>
  </r>
  <r>
    <n v="73"/>
    <n v="4252"/>
    <s v="Home Furnishing"/>
    <x v="0"/>
    <s v="Express"/>
    <n v="315"/>
    <n v="937"/>
    <s v="800 Block of BRYANT ST"/>
    <s v="3800 Block of 24TH ST"/>
    <x v="1"/>
    <d v="1993-03-06T00:00:00"/>
    <m/>
    <n v="0.3362"/>
  </r>
  <r>
    <n v="691"/>
    <n v="2096"/>
    <s v="Industrial Equipments"/>
    <x v="0"/>
    <s v="Regular"/>
    <n v="955"/>
    <n v="1369"/>
    <s v="5TH ST / MISSION ST"/>
    <s v="1500 Block of HAIGHT ST"/>
    <x v="0"/>
    <d v="2012-05-02T00:00:00"/>
    <d v="2012-08-20T00:00:00"/>
    <n v="0.6976"/>
  </r>
  <r>
    <n v="786"/>
    <n v="5209"/>
    <s v="Healthcare"/>
    <x v="1"/>
    <s v="Express"/>
    <n v="372"/>
    <n v="679"/>
    <s v="3600 Block of SACRAMENTO ST"/>
    <s v="SCOTT ST / CHESTNUT ST"/>
    <x v="0"/>
    <d v="1976-06-06T00:00:00"/>
    <d v="1976-08-31T00:00:00"/>
    <n v="0.54790000000000005"/>
  </r>
  <r>
    <n v="68"/>
    <n v="9271"/>
    <s v="Arts and crafts"/>
    <x v="0"/>
    <s v="Express"/>
    <n v="182"/>
    <n v="726"/>
    <s v="1700 Block of FULTON ST"/>
    <s v="300 Block of HAIGHT ST"/>
    <x v="1"/>
    <d v="2004-07-30T00:00:00"/>
    <m/>
    <n v="0.25069999999999998"/>
  </r>
  <r>
    <n v="630"/>
    <n v="6772"/>
    <s v="Hazardous Goods"/>
    <x v="0"/>
    <s v="Regular"/>
    <n v="868"/>
    <n v="1320"/>
    <s v="3300 Block of BALBOA ST"/>
    <s v="300 Block of ELLIS ST"/>
    <x v="0"/>
    <d v="2009-02-23T00:00:00"/>
    <d v="2009-09-29T00:00:00"/>
    <n v="0.65759999999999996"/>
  </r>
  <r>
    <n v="357"/>
    <n v="4628"/>
    <s v="Healthcare"/>
    <x v="1"/>
    <s v="Express"/>
    <n v="777"/>
    <n v="1113"/>
    <s v="200 Block of KING ST"/>
    <s v="0 Block of FUENTE AV"/>
    <x v="1"/>
    <d v="1990-10-11T00:00:00"/>
    <m/>
    <n v="0.69810000000000005"/>
  </r>
  <r>
    <n v="455"/>
    <n v="3853"/>
    <s v="Construction"/>
    <x v="1"/>
    <s v="Regular"/>
    <n v="172"/>
    <n v="580"/>
    <s v="LASALLE AV / PHELPS ST"/>
    <s v="2000 Block of MISSION ST"/>
    <x v="1"/>
    <d v="2011-10-08T00:00:00"/>
    <m/>
    <n v="0.29659999999999997"/>
  </r>
  <r>
    <n v="947"/>
    <n v="515"/>
    <s v="Fashion"/>
    <x v="1"/>
    <s v="Express"/>
    <n v="665"/>
    <n v="1257"/>
    <s v="3300 Block of 22ND ST"/>
    <s v="CALIFORNIA ST / POLK ST"/>
    <x v="0"/>
    <d v="1987-01-15T00:00:00"/>
    <d v="1987-04-30T00:00:00"/>
    <n v="0.52900000000000003"/>
  </r>
  <r>
    <n v="589"/>
    <n v="7513"/>
    <s v="Arts and crafts"/>
    <x v="1"/>
    <s v="Express"/>
    <n v="516"/>
    <n v="1084"/>
    <s v="16TH ST / MISSOURI ST"/>
    <s v="200 Block of HARKNESS AV"/>
    <x v="1"/>
    <d v="1971-02-06T00:00:00"/>
    <m/>
    <n v="0.47599999999999998"/>
  </r>
  <r>
    <n v="863"/>
    <n v="9030"/>
    <s v="Automotive"/>
    <x v="1"/>
    <s v="Regular"/>
    <n v="412"/>
    <n v="872"/>
    <s v="WINSTON DR / 19TH AV"/>
    <s v="300 Block of BEALE ST"/>
    <x v="1"/>
    <d v="1975-03-04T00:00:00"/>
    <m/>
    <n v="0.47249999999999998"/>
  </r>
  <r>
    <n v="668"/>
    <n v="2378"/>
    <s v="Luggage"/>
    <x v="0"/>
    <s v="Express"/>
    <n v="938"/>
    <n v="1067"/>
    <s v="2100 Block of 16TH AV"/>
    <s v="5TH ST / MARKET ST"/>
    <x v="0"/>
    <d v="1972-06-10T00:00:00"/>
    <d v="1972-06-16T00:00:00"/>
    <n v="0.87909999999999999"/>
  </r>
  <r>
    <n v="206"/>
    <n v="5894"/>
    <s v="Luggage"/>
    <x v="1"/>
    <s v="Express"/>
    <n v="854"/>
    <n v="1251"/>
    <s v="1900 Block of WASHINGTON ST"/>
    <s v="CALIFORNIA ST / FILLMORE ST"/>
    <x v="1"/>
    <d v="2012-06-25T00:00:00"/>
    <m/>
    <n v="0.68269999999999997"/>
  </r>
  <r>
    <n v="835"/>
    <n v="7587"/>
    <s v="Luggage"/>
    <x v="1"/>
    <s v="Regular"/>
    <n v="638"/>
    <n v="1314"/>
    <s v="MARTIN LUTHER KING JR DR / 9TH AV"/>
    <s v="0 Block of TURK ST"/>
    <x v="1"/>
    <d v="1977-01-05T00:00:00"/>
    <m/>
    <n v="0.48549999999999999"/>
  </r>
  <r>
    <n v="315"/>
    <n v="1424"/>
    <s v="Food and Beverages"/>
    <x v="0"/>
    <s v="Express"/>
    <n v="230"/>
    <n v="638"/>
    <s v="3RD AV / BALBOA ST"/>
    <s v="400 Block of LAKESHORE DR"/>
    <x v="1"/>
    <d v="1995-11-26T00:00:00"/>
    <m/>
    <n v="0.36049999999999999"/>
  </r>
  <r>
    <n v="553"/>
    <n v="5214"/>
    <s v="Arts and crafts"/>
    <x v="0"/>
    <s v="Regular"/>
    <n v="245"/>
    <n v="611"/>
    <s v="3800 Block of MISSION ST"/>
    <s v="100 Block of PAGE ST"/>
    <x v="1"/>
    <d v="1995-07-26T00:00:00"/>
    <m/>
    <n v="0.40100000000000002"/>
  </r>
  <r>
    <n v="861"/>
    <n v="8249"/>
    <s v="Luggage"/>
    <x v="1"/>
    <s v="Regular"/>
    <n v="916"/>
    <n v="1255"/>
    <s v="500 Block of JOHNFKENNEDY DR"/>
    <s v="VALLEJO ST / KEARNY ST"/>
    <x v="0"/>
    <d v="1996-02-09T00:00:00"/>
    <d v="1996-09-13T00:00:00"/>
    <n v="0.72989999999999999"/>
  </r>
  <r>
    <n v="279"/>
    <n v="3172"/>
    <s v="Construction"/>
    <x v="1"/>
    <s v="Regular"/>
    <n v="84"/>
    <n v="464"/>
    <s v="800 Block of MARKET ST"/>
    <s v="1500 Block of SLOAT BL"/>
    <x v="1"/>
    <d v="2016-03-18T00:00:00"/>
    <m/>
    <n v="0.18099999999999999"/>
  </r>
  <r>
    <n v="75"/>
    <n v="5489"/>
    <s v="Fashion"/>
    <x v="0"/>
    <s v="Regular"/>
    <n v="869"/>
    <n v="1317"/>
    <s v="100 Block of POWELL ST"/>
    <s v="GOLDEN GATE AV / LEAVENWORTH ST"/>
    <x v="0"/>
    <d v="2002-05-28T00:00:00"/>
    <d v="2002-09-08T00:00:00"/>
    <n v="0.65980000000000005"/>
  </r>
  <r>
    <n v="895"/>
    <n v="2037"/>
    <s v="Arts and crafts"/>
    <x v="1"/>
    <s v="Express"/>
    <n v="271"/>
    <n v="704"/>
    <s v="500 Block of HOWARD ST"/>
    <s v="500 Block of JACKSON ST"/>
    <x v="1"/>
    <d v="2010-03-15T00:00:00"/>
    <m/>
    <n v="0.38490000000000002"/>
  </r>
  <r>
    <n v="866"/>
    <n v="2401"/>
    <s v="Luggage"/>
    <x v="1"/>
    <s v="Regular"/>
    <n v="691"/>
    <n v="1260"/>
    <s v="0 Block of MYRTLE ST"/>
    <s v="2ND ST / TOWNSEND ST"/>
    <x v="0"/>
    <d v="1995-01-22T00:00:00"/>
    <d v="1995-01-01T00:00:00"/>
    <n v="0.5484"/>
  </r>
  <r>
    <n v="792"/>
    <n v="1303"/>
    <s v="Arts and crafts"/>
    <x v="0"/>
    <s v="Regular"/>
    <n v="808"/>
    <n v="1257"/>
    <s v="900 Block of THE EMBARCADERO NORTH ST"/>
    <s v="2500 Block of OCTAVIA ST"/>
    <x v="1"/>
    <d v="2008-09-24T00:00:00"/>
    <m/>
    <n v="0.64280000000000004"/>
  </r>
  <r>
    <n v="191"/>
    <n v="6798"/>
    <s v="Home Furnishing"/>
    <x v="1"/>
    <s v="Express"/>
    <n v="997"/>
    <n v="1382"/>
    <s v="600 Block of GOETTINGEN ST"/>
    <s v="100 Block of 6TH ST"/>
    <x v="0"/>
    <d v="1989-01-03T00:00:00"/>
    <d v="1989-10-17T00:00:00"/>
    <n v="0.72140000000000004"/>
  </r>
  <r>
    <n v="59"/>
    <n v="9917"/>
    <s v="Construction"/>
    <x v="1"/>
    <s v="Regular"/>
    <n v="329"/>
    <n v="977"/>
    <s v="1000 Block of SUTTER ST"/>
    <s v="800 Block of 3RD ST"/>
    <x v="1"/>
    <d v="1984-04-02T00:00:00"/>
    <m/>
    <n v="0.3367"/>
  </r>
  <r>
    <n v="748"/>
    <n v="2969"/>
    <s v="Home Furnishing"/>
    <x v="0"/>
    <s v="Regular"/>
    <n v="600"/>
    <n v="1048"/>
    <s v="100 Block of MONTGOMERY ST"/>
    <s v="600 Block of PRENTISS ST"/>
    <x v="1"/>
    <d v="1987-05-07T00:00:00"/>
    <m/>
    <n v="0.57250000000000001"/>
  </r>
  <r>
    <n v="693"/>
    <n v="8737"/>
    <s v="Home Furnishing"/>
    <x v="1"/>
    <s v="Express"/>
    <n v="715"/>
    <n v="1271"/>
    <s v="0 Block of POWELL ST"/>
    <s v="600 Block of VALENCIA ST"/>
    <x v="1"/>
    <d v="1984-01-04T00:00:00"/>
    <m/>
    <n v="0.5625"/>
  </r>
  <r>
    <n v="955"/>
    <n v="2104"/>
    <s v="Home Furnishing"/>
    <x v="1"/>
    <s v="Express"/>
    <n v="957"/>
    <n v="1007"/>
    <s v="BARTLETT ST / 21ST ST"/>
    <s v="FELL ST / POLK ST"/>
    <x v="0"/>
    <d v="1992-05-10T00:00:00"/>
    <d v="1992-12-27T00:00:00"/>
    <n v="0.95030000000000003"/>
  </r>
  <r>
    <n v="538"/>
    <n v="1702"/>
    <s v="Industrial Equipments"/>
    <x v="1"/>
    <s v="Express"/>
    <n v="484"/>
    <n v="863"/>
    <s v="700 Block of MARKET ST"/>
    <s v="700 Block of SWEENY ST"/>
    <x v="1"/>
    <d v="2009-08-07T00:00:00"/>
    <m/>
    <n v="0.56079999999999997"/>
  </r>
  <r>
    <n v="169"/>
    <n v="8933"/>
    <s v="Electronics"/>
    <x v="1"/>
    <s v="Express"/>
    <n v="576"/>
    <n v="1077"/>
    <s v="0 Block of CAMERON WY"/>
    <s v="200 Block of DORE ST"/>
    <x v="0"/>
    <d v="2017-03-17T00:00:00"/>
    <d v="2017-08-24T00:00:00"/>
    <n v="0.53480000000000005"/>
  </r>
  <r>
    <n v="924"/>
    <n v="3624"/>
    <s v="Construction"/>
    <x v="1"/>
    <s v="Regular"/>
    <n v="606"/>
    <n v="1021"/>
    <s v="FILLMORE ST / OFARRELL ST"/>
    <s v="HAWTHORNE ST / HARRISON ST"/>
    <x v="0"/>
    <d v="2015-01-28T00:00:00"/>
    <d v="2015-03-20T00:00:00"/>
    <n v="0.59350000000000003"/>
  </r>
  <r>
    <n v="579"/>
    <n v="4892"/>
    <s v="Home Furnishing"/>
    <x v="0"/>
    <s v="Express"/>
    <n v="913"/>
    <n v="1385"/>
    <s v="SUTTER ST / LAGUNA ST"/>
    <s v="SOUTH VAN NESS AV / 22ND ST"/>
    <x v="1"/>
    <d v="2016-12-21T00:00:00"/>
    <m/>
    <n v="0.65920000000000001"/>
  </r>
  <r>
    <m/>
    <m/>
    <m/>
    <x v="2"/>
    <m/>
    <m/>
    <m/>
    <m/>
    <m/>
    <x v="2"/>
    <m/>
    <m/>
    <m/>
  </r>
  <r>
    <m/>
    <m/>
    <m/>
    <x v="2"/>
    <m/>
    <m/>
    <m/>
    <m/>
    <m/>
    <x v="2"/>
    <m/>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690"/>
    <n v="230"/>
    <x v="0"/>
    <x v="0"/>
    <x v="0"/>
    <n v="553"/>
    <n v="1210"/>
    <s v="1800 Block of 26TH ST"/>
    <s v="1200 Block of JACKSON ST"/>
    <s v="DELIVERED"/>
    <d v="2014-04-28T00:00:00"/>
    <d v="2014-12-18T00:00:00"/>
    <n v="0.45700000000000002"/>
    <n v="234"/>
    <s v="Delayed"/>
    <x v="0"/>
  </r>
  <r>
    <n v="933"/>
    <n v="3189"/>
    <x v="0"/>
    <x v="1"/>
    <x v="1"/>
    <n v="810"/>
    <n v="1114"/>
    <s v="2600 Block of ALEMANY BL"/>
    <s v="700 Block of HAMPSHIRE ST"/>
    <s v="DELIVERED"/>
    <d v="1997-06-14T00:00:00"/>
    <d v="1997-07-10T00:00:00"/>
    <n v="0.72709999999999997"/>
    <n v="26"/>
    <s v="Normal"/>
    <x v="1"/>
  </r>
  <r>
    <n v="261"/>
    <n v="2216"/>
    <x v="1"/>
    <x v="0"/>
    <x v="1"/>
    <n v="994"/>
    <n v="1020"/>
    <s v="BARTLETT ST / 23RD ST"/>
    <s v="500 Block of HAIGHT ST"/>
    <s v="NOT DELIVERED"/>
    <d v="1993-08-14T00:00:00"/>
    <m/>
    <n v="0.97450000000000003"/>
    <s v=""/>
    <s v="Delayed"/>
    <x v="2"/>
  </r>
  <r>
    <n v="445"/>
    <n v="1904"/>
    <x v="2"/>
    <x v="0"/>
    <x v="1"/>
    <n v="598"/>
    <n v="1351"/>
    <s v="1300 Block of 7TH AV"/>
    <s v="300 Block of 9TH ST"/>
    <s v="NOT DELIVERED"/>
    <d v="2019-12-13T00:00:00"/>
    <m/>
    <n v="0.44259999999999999"/>
    <s v=""/>
    <s v="Delayed"/>
    <x v="3"/>
  </r>
  <r>
    <n v="722"/>
    <n v="7342"/>
    <x v="3"/>
    <x v="1"/>
    <x v="1"/>
    <n v="412"/>
    <n v="566"/>
    <s v="0 Block of EUREKA ST"/>
    <s v="1800 Block of VANNESS AV"/>
    <s v="NOT DELIVERED"/>
    <d v="1996-09-21T00:00:00"/>
    <m/>
    <n v="0.72789999999999999"/>
    <s v=""/>
    <s v="Delayed"/>
    <x v="4"/>
  </r>
  <r>
    <n v="129"/>
    <n v="7633"/>
    <x v="4"/>
    <x v="0"/>
    <x v="0"/>
    <n v="379"/>
    <n v="590"/>
    <s v="700 Block of VANNESS AV"/>
    <s v="500 Block of LEAVENWORTH ST"/>
    <s v="DELIVERED"/>
    <d v="1971-04-23T00:00:00"/>
    <d v="1971-11-01T00:00:00"/>
    <n v="0.64239999999999997"/>
    <n v="192"/>
    <s v="Delayed"/>
    <x v="0"/>
  </r>
  <r>
    <n v="489"/>
    <n v="2154"/>
    <x v="5"/>
    <x v="0"/>
    <x v="0"/>
    <n v="892"/>
    <n v="1407"/>
    <s v="200 Block of BERRY ST"/>
    <s v="CARROLL AV / JENNINGS ST"/>
    <s v="NOT DELIVERED"/>
    <d v="2005-12-21T00:00:00"/>
    <m/>
    <n v="0.63400000000000001"/>
    <s v=""/>
    <s v="Delayed"/>
    <x v="3"/>
  </r>
  <r>
    <n v="165"/>
    <n v="5543"/>
    <x v="6"/>
    <x v="0"/>
    <x v="0"/>
    <n v="347"/>
    <n v="786"/>
    <s v="1100 Block of FRANCISCO ST"/>
    <s v="1000 Block of MARKET ST"/>
    <s v="NOT DELIVERED"/>
    <d v="1979-07-03T00:00:00"/>
    <m/>
    <n v="0.4415"/>
    <s v=""/>
    <s v="Delayed"/>
    <x v="5"/>
  </r>
  <r>
    <n v="164"/>
    <n v="2332"/>
    <x v="7"/>
    <x v="1"/>
    <x v="1"/>
    <n v="457"/>
    <n v="855"/>
    <s v="100 Block of NEWMONTGOMERY ST"/>
    <s v="600 Block of SOUTH VAN NESS AV"/>
    <s v="NOT DELIVERED"/>
    <d v="1976-04-29T00:00:00"/>
    <m/>
    <n v="0.53449999999999998"/>
    <s v=""/>
    <s v="Delayed"/>
    <x v="0"/>
  </r>
  <r>
    <n v="364"/>
    <n v="4094"/>
    <x v="8"/>
    <x v="1"/>
    <x v="1"/>
    <n v="957"/>
    <n v="1182"/>
    <s v="200 Block of SCOTT ST"/>
    <s v="2600 Block of MISSION ST"/>
    <s v="NOT DELIVERED"/>
    <d v="2012-03-03T00:00:00"/>
    <m/>
    <n v="0.80959999999999999"/>
    <s v=""/>
    <s v="Delayed"/>
    <x v="6"/>
  </r>
  <r>
    <n v="469"/>
    <n v="3042"/>
    <x v="3"/>
    <x v="1"/>
    <x v="0"/>
    <n v="23"/>
    <n v="25"/>
    <s v="BELVEDERE ST / WALLER ST"/>
    <s v="0 Block of CEDAR ST"/>
    <s v="DELIVERED"/>
    <d v="1991-02-18T00:00:00"/>
    <d v="1991-05-15T00:00:00"/>
    <n v="0.92"/>
    <n v="86"/>
    <s v="Delayed"/>
    <x v="7"/>
  </r>
  <r>
    <n v="158"/>
    <n v="2220"/>
    <x v="0"/>
    <x v="0"/>
    <x v="1"/>
    <n v="479"/>
    <n v="861"/>
    <s v="800 Block of BRYANT ST"/>
    <s v="500 Block of FREDERICK ST"/>
    <s v="DELIVERED"/>
    <d v="1976-03-31T00:00:00"/>
    <d v="1976-06-30T00:00:00"/>
    <n v="0.55630000000000002"/>
    <n v="91"/>
    <s v="Delayed"/>
    <x v="6"/>
  </r>
  <r>
    <n v="337"/>
    <n v="4988"/>
    <x v="3"/>
    <x v="0"/>
    <x v="1"/>
    <n v="305"/>
    <n v="834"/>
    <s v="1300 Block of CALIFORNIA ST"/>
    <s v="0 Block of RAUSCH ST"/>
    <s v="NOT DELIVERED"/>
    <d v="1976-05-11T00:00:00"/>
    <m/>
    <n v="0.36570000000000003"/>
    <s v=""/>
    <s v="Delayed"/>
    <x v="8"/>
  </r>
  <r>
    <n v="634"/>
    <n v="175"/>
    <x v="0"/>
    <x v="1"/>
    <x v="1"/>
    <n v="939"/>
    <n v="1446"/>
    <s v="300 Block of CHENERY ST"/>
    <s v="BUSH ST / BUCHANAN ST"/>
    <s v="NOT DELIVERED"/>
    <d v="1980-10-07T00:00:00"/>
    <m/>
    <n v="0.64939999999999998"/>
    <s v=""/>
    <s v="Delayed"/>
    <x v="9"/>
  </r>
  <r>
    <n v="577"/>
    <n v="4233"/>
    <x v="5"/>
    <x v="0"/>
    <x v="0"/>
    <n v="679"/>
    <n v="1455"/>
    <s v="2600 Block of 18TH ST"/>
    <s v="800 Block of BRYANT ST"/>
    <s v="DELIVERED"/>
    <d v="1987-03-19T00:00:00"/>
    <d v="1987-08-09T00:00:00"/>
    <n v="0.4667"/>
    <n v="143"/>
    <s v="Delayed"/>
    <x v="6"/>
  </r>
  <r>
    <n v="907"/>
    <n v="4351"/>
    <x v="3"/>
    <x v="1"/>
    <x v="1"/>
    <n v="803"/>
    <n v="1020"/>
    <s v="800 Block of 30TH AV"/>
    <s v="1100 Block of MARKET ST"/>
    <s v="NOT DELIVERED"/>
    <d v="2013-07-23T00:00:00"/>
    <m/>
    <n v="0.7873"/>
    <s v=""/>
    <s v="Delayed"/>
    <x v="5"/>
  </r>
  <r>
    <n v="870"/>
    <n v="5578"/>
    <x v="9"/>
    <x v="0"/>
    <x v="0"/>
    <n v="783"/>
    <n v="1042"/>
    <s v="800 Block of GENEVA AV"/>
    <s v="300 Block of 4TH ST"/>
    <s v="NOT DELIVERED"/>
    <d v="2010-03-02T00:00:00"/>
    <m/>
    <n v="0.75139999999999996"/>
    <s v=""/>
    <s v="Delayed"/>
    <x v="6"/>
  </r>
  <r>
    <n v="982"/>
    <n v="4523"/>
    <x v="6"/>
    <x v="0"/>
    <x v="0"/>
    <n v="432"/>
    <n v="915"/>
    <s v="800 Block of BRYANT ST"/>
    <s v="100 Block of TOWNSEND ST"/>
    <s v="NOT DELIVERED"/>
    <d v="2017-10-17T00:00:00"/>
    <m/>
    <n v="0.47210000000000002"/>
    <s v=""/>
    <s v="Delayed"/>
    <x v="9"/>
  </r>
  <r>
    <n v="351"/>
    <n v="2972"/>
    <x v="6"/>
    <x v="0"/>
    <x v="0"/>
    <n v="776"/>
    <n v="1053"/>
    <s v="15TH ST / SANCHEZ ST"/>
    <s v="1700 Block of FULTON ST"/>
    <s v="DELIVERED"/>
    <d v="1977-01-03T00:00:00"/>
    <d v="1977-07-06T00:00:00"/>
    <n v="0.7369"/>
    <n v="184"/>
    <s v="Delayed"/>
    <x v="10"/>
  </r>
  <r>
    <n v="328"/>
    <n v="6153"/>
    <x v="0"/>
    <x v="0"/>
    <x v="1"/>
    <n v="710"/>
    <n v="1066"/>
    <s v="900 Block of ELLSWORTH ST"/>
    <s v="400 Block of 28TH ST"/>
    <s v="DELIVERED"/>
    <d v="1997-01-20T00:00:00"/>
    <d v="1997-09-08T00:00:00"/>
    <n v="0.66600000000000004"/>
    <n v="231"/>
    <s v="Delayed"/>
    <x v="10"/>
  </r>
  <r>
    <n v="242"/>
    <n v="4852"/>
    <x v="9"/>
    <x v="0"/>
    <x v="0"/>
    <n v="959"/>
    <n v="1253"/>
    <s v="600 Block of FRANCISCO ST"/>
    <s v="FELL ST / MASONIC AV"/>
    <s v="NOT DELIVERED"/>
    <d v="1996-12-09T00:00:00"/>
    <m/>
    <n v="0.76539999999999997"/>
    <s v=""/>
    <s v="Delayed"/>
    <x v="3"/>
  </r>
  <r>
    <n v="421"/>
    <n v="8106"/>
    <x v="8"/>
    <x v="1"/>
    <x v="0"/>
    <n v="147"/>
    <n v="535"/>
    <s v="800 Block of BRYANT ST"/>
    <s v="900 Block of RANDOLPH ST"/>
    <s v="DELIVERED"/>
    <d v="1999-02-07T00:00:00"/>
    <d v="1999-03-05T00:00:00"/>
    <n v="0.27479999999999999"/>
    <n v="26"/>
    <s v="Normal"/>
    <x v="7"/>
  </r>
  <r>
    <n v="6"/>
    <n v="3917"/>
    <x v="10"/>
    <x v="1"/>
    <x v="1"/>
    <n v="613"/>
    <n v="1256"/>
    <s v="800 Block of BRYANT ST"/>
    <s v="0 Block of 6TH ST"/>
    <s v="DELIVERED"/>
    <d v="1977-03-08T00:00:00"/>
    <d v="1977-11-08T00:00:00"/>
    <n v="0.48809999999999998"/>
    <n v="245"/>
    <s v="Delayed"/>
    <x v="6"/>
  </r>
  <r>
    <n v="384"/>
    <n v="9377"/>
    <x v="1"/>
    <x v="0"/>
    <x v="0"/>
    <n v="590"/>
    <n v="1033"/>
    <s v="ELLIS ST / LAGUNA ST"/>
    <s v="0 Block of HYDE ST"/>
    <s v="NOT DELIVERED"/>
    <d v="1972-02-21T00:00:00"/>
    <m/>
    <n v="0.57120000000000004"/>
    <s v=""/>
    <s v="Delayed"/>
    <x v="7"/>
  </r>
  <r>
    <n v="286"/>
    <n v="5387"/>
    <x v="3"/>
    <x v="0"/>
    <x v="0"/>
    <n v="193"/>
    <n v="817"/>
    <s v="100 Block of STEUART ST"/>
    <s v="900 Block of VALENCIA ST"/>
    <s v="DELIVERED"/>
    <d v="2005-06-06T00:00:00"/>
    <d v="2005-09-15T00:00:00"/>
    <n v="0.23619999999999999"/>
    <n v="101"/>
    <s v="Delayed"/>
    <x v="1"/>
  </r>
  <r>
    <n v="892"/>
    <n v="6513"/>
    <x v="1"/>
    <x v="0"/>
    <x v="0"/>
    <n v="879"/>
    <n v="1037"/>
    <s v="700 Block of FOLSOM ST"/>
    <s v="300 Block of ARBALLO DR"/>
    <s v="DELIVERED"/>
    <d v="2019-11-17T00:00:00"/>
    <d v="2019-12-12T00:00:00"/>
    <n v="0.84760000000000002"/>
    <n v="25"/>
    <s v="Normal"/>
    <x v="11"/>
  </r>
  <r>
    <n v="558"/>
    <n v="3965"/>
    <x v="6"/>
    <x v="0"/>
    <x v="0"/>
    <n v="275"/>
    <n v="951"/>
    <s v="1600 Block of VANNESS AV"/>
    <s v="100 Block of PHELAN AV"/>
    <s v="DELIVERED"/>
    <d v="2013-10-27T00:00:00"/>
    <d v="2013-11-15T00:00:00"/>
    <n v="0.28920000000000001"/>
    <n v="19"/>
    <s v="Normal"/>
    <x v="9"/>
  </r>
  <r>
    <n v="481"/>
    <n v="8893"/>
    <x v="9"/>
    <x v="1"/>
    <x v="0"/>
    <n v="319"/>
    <n v="770"/>
    <s v="800 Block of MARKET ST"/>
    <s v="0 Block of GORDON ST"/>
    <s v="NOT DELIVERED"/>
    <d v="2006-07-11T00:00:00"/>
    <m/>
    <n v="0.4143"/>
    <s v=""/>
    <s v="Delayed"/>
    <x v="5"/>
  </r>
  <r>
    <n v="155"/>
    <n v="1897"/>
    <x v="7"/>
    <x v="0"/>
    <x v="1"/>
    <n v="52"/>
    <n v="293"/>
    <s v="800 Block of BRYANT ST"/>
    <s v="600 Block of VALENCIA ST"/>
    <s v="NOT DELIVERED"/>
    <d v="2003-09-23T00:00:00"/>
    <m/>
    <n v="0.17749999999999999"/>
    <s v=""/>
    <s v="Delayed"/>
    <x v="4"/>
  </r>
  <r>
    <n v="771"/>
    <n v="390"/>
    <x v="3"/>
    <x v="0"/>
    <x v="0"/>
    <n v="702"/>
    <n v="1414"/>
    <s v="SHOTWELL ST / 17TH ST"/>
    <s v="EDDY ST / HYDE ST"/>
    <s v="DELIVERED"/>
    <d v="2013-05-03T00:00:00"/>
    <d v="2013-11-15T00:00:00"/>
    <n v="0.4965"/>
    <n v="196"/>
    <s v="Delayed"/>
    <x v="8"/>
  </r>
  <r>
    <n v="945"/>
    <n v="3633"/>
    <x v="0"/>
    <x v="0"/>
    <x v="1"/>
    <n v="299"/>
    <n v="524"/>
    <s v="1500 Block of BAKER ST"/>
    <s v="LIPPARD AV / BOSWORTH ST"/>
    <s v="DELIVERED"/>
    <d v="2001-04-29T00:00:00"/>
    <d v="2001-08-10T00:00:00"/>
    <n v="0.5706"/>
    <n v="103"/>
    <s v="Delayed"/>
    <x v="0"/>
  </r>
  <r>
    <n v="719"/>
    <n v="7828"/>
    <x v="10"/>
    <x v="0"/>
    <x v="0"/>
    <n v="930"/>
    <n v="1183"/>
    <s v="100 Block of BERRY ST"/>
    <s v="KERN ST / DIAMOND ST"/>
    <s v="DELIVERED"/>
    <d v="2006-01-22T00:00:00"/>
    <d v="2006-07-17T00:00:00"/>
    <n v="0.78610000000000002"/>
    <n v="176"/>
    <s v="Delayed"/>
    <x v="10"/>
  </r>
  <r>
    <n v="493"/>
    <n v="2241"/>
    <x v="2"/>
    <x v="0"/>
    <x v="0"/>
    <n v="314"/>
    <n v="566"/>
    <s v="700 Block of HOWARD ST"/>
    <s v="HARRISON ST / 3RD ST"/>
    <s v="NOT DELIVERED"/>
    <d v="1995-08-20T00:00:00"/>
    <m/>
    <n v="0.55479999999999996"/>
    <s v=""/>
    <s v="Delayed"/>
    <x v="2"/>
  </r>
  <r>
    <n v="998"/>
    <n v="896"/>
    <x v="7"/>
    <x v="1"/>
    <x v="1"/>
    <n v="109"/>
    <n v="961"/>
    <s v="0 Block of LEE AV"/>
    <s v="0 Block of FALLON PL"/>
    <s v="DELIVERED"/>
    <d v="2013-11-21T00:00:00"/>
    <d v="2013-11-15T00:00:00"/>
    <n v="0.1134"/>
    <n v="-6"/>
    <s v="Invalid"/>
    <x v="11"/>
  </r>
  <r>
    <n v="968"/>
    <n v="6361"/>
    <x v="4"/>
    <x v="0"/>
    <x v="0"/>
    <n v="24"/>
    <n v="54"/>
    <s v="STOCKTON ST / BROADWAY ST"/>
    <s v="900 Block of GEARY ST"/>
    <s v="DELIVERED"/>
    <d v="1993-01-04T00:00:00"/>
    <d v="1993-08-02T00:00:00"/>
    <n v="0.44440000000000002"/>
    <n v="210"/>
    <s v="Delayed"/>
    <x v="10"/>
  </r>
  <r>
    <n v="738"/>
    <n v="6713"/>
    <x v="3"/>
    <x v="0"/>
    <x v="1"/>
    <n v="545"/>
    <n v="1044"/>
    <s v="LAKE MERCED BL / BROTHERHOOD WAY"/>
    <s v="HARRISON ST / THE EMBARCADEROSOUTH ST"/>
    <s v="NOT DELIVERED"/>
    <d v="1977-09-19T00:00:00"/>
    <m/>
    <n v="0.52200000000000002"/>
    <s v=""/>
    <s v="Delayed"/>
    <x v="4"/>
  </r>
  <r>
    <n v="912"/>
    <n v="4283"/>
    <x v="5"/>
    <x v="1"/>
    <x v="0"/>
    <n v="505"/>
    <n v="1082"/>
    <s v="GEARY ST / POLK ST"/>
    <s v="1600 Block of LASALLE AV"/>
    <s v="NOT DELIVERED"/>
    <d v="2019-12-30T00:00:00"/>
    <m/>
    <n v="0.4667"/>
    <s v=""/>
    <s v="Delayed"/>
    <x v="3"/>
  </r>
  <r>
    <n v="782"/>
    <n v="9486"/>
    <x v="3"/>
    <x v="1"/>
    <x v="0"/>
    <n v="182"/>
    <n v="871"/>
    <s v="1400 Block of DOUGLASS ST"/>
    <s v="48TH AV / JUDAH ST"/>
    <s v="DELIVERED"/>
    <d v="2002-08-31T00:00:00"/>
    <d v="2002-10-20T00:00:00"/>
    <n v="0.20899999999999999"/>
    <n v="50"/>
    <s v="Delayed"/>
    <x v="2"/>
  </r>
  <r>
    <n v="140"/>
    <n v="308"/>
    <x v="1"/>
    <x v="1"/>
    <x v="0"/>
    <n v="226"/>
    <n v="970"/>
    <s v="100 Block of FONT BL"/>
    <s v="1000 Block of KEY AV"/>
    <s v="DELIVERED"/>
    <d v="2006-06-10T00:00:00"/>
    <d v="2006-07-17T00:00:00"/>
    <n v="0.23300000000000001"/>
    <n v="37"/>
    <s v="Delayed"/>
    <x v="1"/>
  </r>
  <r>
    <n v="702"/>
    <n v="8927"/>
    <x v="2"/>
    <x v="1"/>
    <x v="0"/>
    <n v="111"/>
    <n v="617"/>
    <s v="HOLLOWAY AV / BRIGHTON AV"/>
    <s v="TAYLOR ST / GOLDEN GATE AV"/>
    <s v="DELIVERED"/>
    <d v="2004-07-07T00:00:00"/>
    <d v="2004-11-20T00:00:00"/>
    <n v="0.1799"/>
    <n v="136"/>
    <s v="Delayed"/>
    <x v="5"/>
  </r>
  <r>
    <n v="284"/>
    <n v="249"/>
    <x v="7"/>
    <x v="1"/>
    <x v="1"/>
    <n v="145"/>
    <n v="814"/>
    <s v="1800 Block of KIRKHAM ST"/>
    <s v="800 Block of BRYANT ST"/>
    <s v="DELIVERED"/>
    <d v="1982-02-06T00:00:00"/>
    <d v="1982-03-08T00:00:00"/>
    <n v="0.17810000000000001"/>
    <n v="30"/>
    <s v="Normal"/>
    <x v="7"/>
  </r>
  <r>
    <n v="199"/>
    <n v="2620"/>
    <x v="3"/>
    <x v="0"/>
    <x v="0"/>
    <n v="829"/>
    <n v="1145"/>
    <s v="500 Block of TUNNEL AV"/>
    <s v="1600 Block of TURK ST"/>
    <s v="NOT DELIVERED"/>
    <d v="2007-07-27T00:00:00"/>
    <m/>
    <n v="0.72399999999999998"/>
    <s v=""/>
    <s v="Delayed"/>
    <x v="5"/>
  </r>
  <r>
    <n v="228"/>
    <n v="1164"/>
    <x v="3"/>
    <x v="0"/>
    <x v="0"/>
    <n v="269"/>
    <n v="902"/>
    <s v="800 Block of BRYANT ST"/>
    <s v="100 Block of SPEAR ST"/>
    <s v="DELIVERED"/>
    <d v="1994-03-30T00:00:00"/>
    <d v="1994-04-09T00:00:00"/>
    <n v="0.29820000000000002"/>
    <n v="10"/>
    <s v="Normal"/>
    <x v="6"/>
  </r>
  <r>
    <n v="908"/>
    <n v="4711"/>
    <x v="7"/>
    <x v="1"/>
    <x v="0"/>
    <n v="660"/>
    <n v="1470"/>
    <s v="200 Block of CHENERY ST"/>
    <s v="2900 Block of DIAMOND ST"/>
    <s v="NOT DELIVERED"/>
    <d v="1999-01-28T00:00:00"/>
    <m/>
    <n v="0.44900000000000001"/>
    <s v=""/>
    <s v="Delayed"/>
    <x v="10"/>
  </r>
  <r>
    <n v="594"/>
    <n v="4053"/>
    <x v="2"/>
    <x v="0"/>
    <x v="0"/>
    <n v="484"/>
    <n v="568"/>
    <s v="1000 Block of POTRERO AV"/>
    <s v="400 Block of ROLPH ST"/>
    <s v="NOT DELIVERED"/>
    <d v="2004-03-20T00:00:00"/>
    <m/>
    <n v="0.85209999999999997"/>
    <s v=""/>
    <s v="Delayed"/>
    <x v="6"/>
  </r>
  <r>
    <n v="542"/>
    <n v="4272"/>
    <x v="4"/>
    <x v="1"/>
    <x v="0"/>
    <n v="100"/>
    <n v="487"/>
    <s v="100 Block of HYDE ST"/>
    <s v="BANCROFT AV / KEITH ST"/>
    <s v="NOT DELIVERED"/>
    <d v="1986-05-19T00:00:00"/>
    <m/>
    <n v="0.20530000000000001"/>
    <s v=""/>
    <s v="Delayed"/>
    <x v="8"/>
  </r>
  <r>
    <n v="586"/>
    <n v="7005"/>
    <x v="9"/>
    <x v="0"/>
    <x v="1"/>
    <n v="711"/>
    <n v="1197"/>
    <s v="1100 Block of HUDSON AV"/>
    <s v="MYRTLE ST / LARKIN ST"/>
    <s v="NOT DELIVERED"/>
    <d v="1977-03-08T00:00:00"/>
    <m/>
    <n v="0.59399999999999997"/>
    <s v=""/>
    <s v="Delayed"/>
    <x v="6"/>
  </r>
  <r>
    <n v="636"/>
    <n v="2308"/>
    <x v="2"/>
    <x v="1"/>
    <x v="0"/>
    <n v="325"/>
    <n v="994"/>
    <s v="STOCKTON ST / POST ST"/>
    <s v="500 Block of MAGELLAN AV"/>
    <s v="DELIVERED"/>
    <d v="2008-02-24T00:00:00"/>
    <d v="2008-08-09T00:00:00"/>
    <n v="0.32700000000000001"/>
    <n v="167"/>
    <s v="Delayed"/>
    <x v="7"/>
  </r>
  <r>
    <n v="581"/>
    <n v="5150"/>
    <x v="8"/>
    <x v="0"/>
    <x v="0"/>
    <n v="209"/>
    <n v="933"/>
    <s v="LEAVENWORTH ST / TURK ST"/>
    <s v="1600 Block of 38TH AV"/>
    <s v="NOT DELIVERED"/>
    <d v="2017-11-24T00:00:00"/>
    <m/>
    <n v="0.224"/>
    <s v=""/>
    <s v="Delayed"/>
    <x v="11"/>
  </r>
  <r>
    <n v="336"/>
    <n v="693"/>
    <x v="9"/>
    <x v="1"/>
    <x v="1"/>
    <n v="996"/>
    <n v="1168"/>
    <s v="800 Block of BRYANT ST"/>
    <s v="3300 Block of MISSION ST"/>
    <s v="NOT DELIVERED"/>
    <d v="1972-10-09T00:00:00"/>
    <m/>
    <n v="0.85270000000000001"/>
    <s v=""/>
    <s v="Delayed"/>
    <x v="9"/>
  </r>
  <r>
    <n v="504"/>
    <n v="9598"/>
    <x v="1"/>
    <x v="1"/>
    <x v="0"/>
    <n v="420"/>
    <n v="561"/>
    <s v="4200 Block of 26TH ST"/>
    <s v="0 Block of TURK ST"/>
    <s v="DELIVERED"/>
    <d v="1982-07-11T00:00:00"/>
    <d v="1982-10-15T00:00:00"/>
    <n v="0.74870000000000003"/>
    <n v="96"/>
    <s v="Delayed"/>
    <x v="5"/>
  </r>
  <r>
    <n v="346"/>
    <n v="8103"/>
    <x v="6"/>
    <x v="1"/>
    <x v="1"/>
    <n v="182"/>
    <n v="850"/>
    <s v="BLAKE ST / GEARY BL"/>
    <s v="BROADWAY ST / COLUMBUS AV"/>
    <s v="DELIVERED"/>
    <d v="2007-06-05T00:00:00"/>
    <d v="2007-07-12T00:00:00"/>
    <n v="0.21410000000000001"/>
    <n v="37"/>
    <s v="Delayed"/>
    <x v="1"/>
  </r>
  <r>
    <n v="135"/>
    <n v="8894"/>
    <x v="9"/>
    <x v="0"/>
    <x v="1"/>
    <n v="901"/>
    <n v="1393"/>
    <s v="WASHINGTON ST / DRUMM ST"/>
    <s v="1200 Block of PINE ST"/>
    <s v="NOT DELIVERED"/>
    <d v="2004-09-10T00:00:00"/>
    <m/>
    <n v="0.64680000000000004"/>
    <s v=""/>
    <s v="Delayed"/>
    <x v="4"/>
  </r>
  <r>
    <n v="822"/>
    <n v="114"/>
    <x v="9"/>
    <x v="1"/>
    <x v="0"/>
    <n v="88"/>
    <n v="426"/>
    <s v="EXECUTIVEPARK BL / ALANA WY"/>
    <s v="900 Block of MISSION ST"/>
    <s v="DELIVERED"/>
    <d v="1991-06-30T00:00:00"/>
    <d v="1991-07-15T00:00:00"/>
    <n v="0.20660000000000001"/>
    <n v="15"/>
    <s v="Normal"/>
    <x v="1"/>
  </r>
  <r>
    <n v="95"/>
    <n v="6546"/>
    <x v="3"/>
    <x v="0"/>
    <x v="0"/>
    <n v="660"/>
    <n v="1208"/>
    <s v="0 Block of BROOKDALE AV"/>
    <s v="1300 Block of EGBERT AV"/>
    <s v="NOT DELIVERED"/>
    <d v="2013-04-11T00:00:00"/>
    <m/>
    <n v="0.5464"/>
    <s v=""/>
    <s v="Delayed"/>
    <x v="0"/>
  </r>
  <r>
    <n v="597"/>
    <n v="3571"/>
    <x v="1"/>
    <x v="0"/>
    <x v="0"/>
    <n v="267"/>
    <n v="925"/>
    <s v="3600 Block of 22ND ST"/>
    <s v="200 Block of NAGLEE AV"/>
    <s v="NOT DELIVERED"/>
    <d v="2010-07-26T00:00:00"/>
    <m/>
    <n v="0.28860000000000002"/>
    <s v=""/>
    <s v="Delayed"/>
    <x v="5"/>
  </r>
  <r>
    <n v="340"/>
    <n v="7316"/>
    <x v="5"/>
    <x v="1"/>
    <x v="1"/>
    <n v="905"/>
    <n v="1392"/>
    <s v="700 Block of 3RD ST"/>
    <s v="FRANCISCO ST / JONES ST"/>
    <s v="NOT DELIVERED"/>
    <d v="1981-11-03T00:00:00"/>
    <m/>
    <n v="0.65010000000000001"/>
    <s v=""/>
    <s v="Delayed"/>
    <x v="11"/>
  </r>
  <r>
    <n v="905"/>
    <n v="2478"/>
    <x v="1"/>
    <x v="0"/>
    <x v="1"/>
    <n v="799"/>
    <n v="1425"/>
    <s v="1700 Block of 25TH ST"/>
    <s v="1300 Block of BROADWAY ST"/>
    <s v="DELIVERED"/>
    <d v="1983-04-11T00:00:00"/>
    <d v="1983-09-30T00:00:00"/>
    <n v="0.56069999999999998"/>
    <n v="172"/>
    <s v="Delayed"/>
    <x v="0"/>
  </r>
  <r>
    <n v="250"/>
    <n v="1215"/>
    <x v="9"/>
    <x v="1"/>
    <x v="1"/>
    <n v="773"/>
    <n v="1225"/>
    <s v="1200 Block of POLK ST"/>
    <s v="1200 Block of MARKET ST"/>
    <s v="DELIVERED"/>
    <d v="2006-09-18T00:00:00"/>
    <d v="2006-10-22T00:00:00"/>
    <n v="0.63100000000000001"/>
    <n v="34"/>
    <s v="Delayed"/>
    <x v="4"/>
  </r>
  <r>
    <n v="400"/>
    <n v="5402"/>
    <x v="1"/>
    <x v="0"/>
    <x v="1"/>
    <n v="78"/>
    <n v="403"/>
    <s v="EARL ST / LASALLE AV"/>
    <s v="1400 Block of KIRKWOOD CT"/>
    <s v="NOT DELIVERED"/>
    <d v="2003-01-07T00:00:00"/>
    <m/>
    <n v="0.19350000000000001"/>
    <s v=""/>
    <s v="Delayed"/>
    <x v="10"/>
  </r>
  <r>
    <n v="877"/>
    <n v="1647"/>
    <x v="6"/>
    <x v="0"/>
    <x v="1"/>
    <n v="791"/>
    <n v="1169"/>
    <s v="CLARA ST / 4TH ST"/>
    <s v="100 Block of ATOLL CR"/>
    <s v="DELIVERED"/>
    <d v="2000-01-25T00:00:00"/>
    <d v="2000-03-22T00:00:00"/>
    <n v="0.67659999999999998"/>
    <n v="57"/>
    <s v="Delayed"/>
    <x v="10"/>
  </r>
  <r>
    <n v="97"/>
    <n v="9423"/>
    <x v="9"/>
    <x v="0"/>
    <x v="1"/>
    <n v="603"/>
    <n v="1167"/>
    <s v="0 Block of STEINER ST"/>
    <s v="1100 Block of FRANCISCO ST"/>
    <s v="NOT DELIVERED"/>
    <d v="2011-05-25T00:00:00"/>
    <m/>
    <n v="0.51670000000000005"/>
    <s v=""/>
    <s v="Delayed"/>
    <x v="8"/>
  </r>
  <r>
    <n v="12"/>
    <n v="6404"/>
    <x v="9"/>
    <x v="0"/>
    <x v="0"/>
    <n v="360"/>
    <n v="565"/>
    <s v="1800 Block of 8TH AV"/>
    <s v="JONES ST / GOLDEN GATE AV"/>
    <s v="NOT DELIVERED"/>
    <d v="2000-06-18T00:00:00"/>
    <m/>
    <n v="0.63719999999999999"/>
    <s v=""/>
    <s v="Delayed"/>
    <x v="1"/>
  </r>
  <r>
    <n v="353"/>
    <n v="6767"/>
    <x v="5"/>
    <x v="0"/>
    <x v="1"/>
    <n v="84"/>
    <n v="354"/>
    <s v="HARRISON ST / 11TH ST"/>
    <s v="BROADWAY ST / KEARNY ST"/>
    <s v="DELIVERED"/>
    <d v="2012-08-02T00:00:00"/>
    <d v="2012-10-04T00:00:00"/>
    <n v="0.23730000000000001"/>
    <n v="63"/>
    <s v="Delayed"/>
    <x v="2"/>
  </r>
  <r>
    <n v="856"/>
    <n v="1278"/>
    <x v="8"/>
    <x v="0"/>
    <x v="0"/>
    <n v="880"/>
    <n v="1178"/>
    <s v="500 Block of HYDE ST"/>
    <s v="400 Block of CAPP ST"/>
    <s v="DELIVERED"/>
    <d v="1977-06-26T00:00:00"/>
    <d v="1977-11-08T00:00:00"/>
    <n v="0.747"/>
    <n v="135"/>
    <s v="Delayed"/>
    <x v="1"/>
  </r>
  <r>
    <n v="1"/>
    <n v="1334"/>
    <x v="10"/>
    <x v="1"/>
    <x v="1"/>
    <n v="947"/>
    <n v="1385"/>
    <s v="LARKIN ST / ELLIS ST"/>
    <s v="2700 Block of DIAMOND ST"/>
    <s v="DELIVERED"/>
    <d v="2010-02-13T00:00:00"/>
    <d v="2010-11-30T00:00:00"/>
    <n v="0.68379999999999996"/>
    <n v="290"/>
    <s v="Delayed"/>
    <x v="7"/>
  </r>
  <r>
    <n v="390"/>
    <n v="8887"/>
    <x v="8"/>
    <x v="0"/>
    <x v="0"/>
    <n v="234"/>
    <n v="780"/>
    <s v="6500 Block of 3RD ST"/>
    <s v="800 Block of 33RD AV"/>
    <s v="DELIVERED"/>
    <d v="2009-03-24T00:00:00"/>
    <d v="2009-03-09T00:00:00"/>
    <n v="0.3"/>
    <n v="-15"/>
    <s v="Invalid"/>
    <x v="6"/>
  </r>
  <r>
    <n v="446"/>
    <n v="9858"/>
    <x v="4"/>
    <x v="0"/>
    <x v="1"/>
    <n v="931"/>
    <n v="1247"/>
    <s v="0 Block of WHITFIELD CT"/>
    <s v="1500 Block of POWELL ST"/>
    <s v="NOT DELIVERED"/>
    <d v="1993-04-25T00:00:00"/>
    <m/>
    <n v="0.74660000000000004"/>
    <s v=""/>
    <s v="Delayed"/>
    <x v="0"/>
  </r>
  <r>
    <n v="32"/>
    <n v="9636"/>
    <x v="10"/>
    <x v="0"/>
    <x v="1"/>
    <n v="478"/>
    <n v="705"/>
    <s v="1100 Block of OCEAN AV"/>
    <s v="900 Block of DEHARO ST"/>
    <s v="NOT DELIVERED"/>
    <d v="2004-08-30T00:00:00"/>
    <m/>
    <n v="0.67800000000000005"/>
    <s v=""/>
    <s v="Delayed"/>
    <x v="2"/>
  </r>
  <r>
    <n v="420"/>
    <n v="9943"/>
    <x v="6"/>
    <x v="0"/>
    <x v="1"/>
    <n v="638"/>
    <n v="1130"/>
    <s v="BRYANT ST / 4TH ST"/>
    <s v="1300 Block of MISSION ST"/>
    <s v="NOT DELIVERED"/>
    <d v="1989-01-02T00:00:00"/>
    <m/>
    <n v="0.56459999999999999"/>
    <s v=""/>
    <s v="Delayed"/>
    <x v="10"/>
  </r>
  <r>
    <n v="708"/>
    <n v="1246"/>
    <x v="6"/>
    <x v="0"/>
    <x v="1"/>
    <n v="50"/>
    <n v="72"/>
    <s v="900 Block of CONNECTICUT ST"/>
    <s v="LEAVENWORTH ST / EDDY ST"/>
    <s v="DELIVERED"/>
    <d v="2019-02-19T00:00:00"/>
    <d v="2019-07-31T00:00:00"/>
    <n v="0.69440000000000002"/>
    <n v="162"/>
    <s v="Delayed"/>
    <x v="7"/>
  </r>
  <r>
    <n v="227"/>
    <n v="4527"/>
    <x v="6"/>
    <x v="1"/>
    <x v="0"/>
    <n v="477"/>
    <n v="564"/>
    <s v="POLK ST / BEACH ST"/>
    <s v="700 Block of LARKIN ST"/>
    <s v="DELIVERED"/>
    <d v="2002-01-25T00:00:00"/>
    <d v="2002-01-05T00:00:00"/>
    <n v="0.84570000000000001"/>
    <n v="-20"/>
    <s v="Invalid"/>
    <x v="10"/>
  </r>
  <r>
    <n v="595"/>
    <n v="3782"/>
    <x v="5"/>
    <x v="1"/>
    <x v="0"/>
    <n v="879"/>
    <n v="1040"/>
    <s v="37TH AV / RIVERA ST"/>
    <s v="1200 Block of 36TH AV"/>
    <s v="NOT DELIVERED"/>
    <d v="2003-05-10T00:00:00"/>
    <m/>
    <n v="0.84519999999999995"/>
    <s v=""/>
    <s v="Delayed"/>
    <x v="8"/>
  </r>
  <r>
    <n v="211"/>
    <n v="6225"/>
    <x v="3"/>
    <x v="0"/>
    <x v="1"/>
    <n v="912"/>
    <n v="1220"/>
    <s v="FREMONT ST / HARRISON ST"/>
    <s v="0 Block of CRESTLAKE DR"/>
    <s v="DELIVERED"/>
    <d v="2006-03-17T00:00:00"/>
    <d v="2006-12-23T00:00:00"/>
    <n v="0.74750000000000005"/>
    <n v="281"/>
    <s v="Delayed"/>
    <x v="6"/>
  </r>
  <r>
    <n v="650"/>
    <n v="2257"/>
    <x v="4"/>
    <x v="1"/>
    <x v="0"/>
    <n v="868"/>
    <n v="1141"/>
    <s v="400 Block of GENEVA AV"/>
    <s v="POWELL ST / OFARRELL ST"/>
    <s v="NOT DELIVERED"/>
    <d v="2007-06-18T00:00:00"/>
    <m/>
    <n v="0.76070000000000004"/>
    <s v=""/>
    <s v="Delayed"/>
    <x v="1"/>
  </r>
  <r>
    <n v="45"/>
    <n v="9177"/>
    <x v="0"/>
    <x v="0"/>
    <x v="1"/>
    <n v="889"/>
    <n v="1050"/>
    <s v="20TH ST / KANSAS ST"/>
    <s v="JEFFERSON ST / TAYLOR ST"/>
    <s v="DELIVERED"/>
    <d v="1996-03-03T00:00:00"/>
    <d v="1996-05-01T00:00:00"/>
    <n v="0.84670000000000001"/>
    <n v="59"/>
    <s v="Delayed"/>
    <x v="6"/>
  </r>
  <r>
    <n v="201"/>
    <n v="8703"/>
    <x v="2"/>
    <x v="0"/>
    <x v="0"/>
    <n v="482"/>
    <n v="850"/>
    <s v="4000 Block of 18TH ST"/>
    <s v="500 Block of ELLIS ST"/>
    <s v="NOT DELIVERED"/>
    <d v="1982-12-02T00:00:00"/>
    <m/>
    <n v="0.56710000000000005"/>
    <s v=""/>
    <s v="Delayed"/>
    <x v="3"/>
  </r>
  <r>
    <n v="564"/>
    <n v="3514"/>
    <x v="0"/>
    <x v="1"/>
    <x v="1"/>
    <n v="683"/>
    <n v="1275"/>
    <s v="1400 Block of 14TH AV"/>
    <s v="1800 Block of DIVISADERO ST"/>
    <s v="DELIVERED"/>
    <d v="2004-05-02T00:00:00"/>
    <d v="2004-09-25T00:00:00"/>
    <n v="0.53569999999999995"/>
    <n v="146"/>
    <s v="Delayed"/>
    <x v="8"/>
  </r>
  <r>
    <n v="138"/>
    <n v="3089"/>
    <x v="2"/>
    <x v="0"/>
    <x v="0"/>
    <n v="382"/>
    <n v="714"/>
    <s v="200 Block of 2ND ST"/>
    <s v="0 Block of THRIFT ST"/>
    <s v="NOT DELIVERED"/>
    <d v="2008-02-22T00:00:00"/>
    <m/>
    <n v="0.53500000000000003"/>
    <s v=""/>
    <s v="Delayed"/>
    <x v="7"/>
  </r>
  <r>
    <n v="57"/>
    <n v="7253"/>
    <x v="9"/>
    <x v="0"/>
    <x v="0"/>
    <n v="753"/>
    <n v="1027"/>
    <s v="2900 Block of TURK ST"/>
    <s v="300 Block of DEMONTFORT AV"/>
    <s v="DELIVERED"/>
    <d v="2004-03-18T00:00:00"/>
    <d v="2004-03-02T00:00:00"/>
    <n v="0.73319999999999996"/>
    <n v="-16"/>
    <s v="Invalid"/>
    <x v="6"/>
  </r>
  <r>
    <n v="128"/>
    <n v="8786"/>
    <x v="10"/>
    <x v="1"/>
    <x v="1"/>
    <n v="718"/>
    <n v="1486"/>
    <s v="0 Block of 7TH ST"/>
    <s v="300 Block of 10TH ST"/>
    <s v="NOT DELIVERED"/>
    <d v="1992-03-22T00:00:00"/>
    <m/>
    <n v="0.48320000000000002"/>
    <s v=""/>
    <s v="Delayed"/>
    <x v="6"/>
  </r>
  <r>
    <n v="33"/>
    <n v="1211"/>
    <x v="6"/>
    <x v="0"/>
    <x v="1"/>
    <n v="577"/>
    <n v="1312"/>
    <s v="0 Block of CUMBERLAND ST"/>
    <s v="200 Block of POPLAR ST"/>
    <s v="NOT DELIVERED"/>
    <d v="1988-04-05T00:00:00"/>
    <m/>
    <n v="0.43980000000000002"/>
    <s v=""/>
    <s v="Delayed"/>
    <x v="0"/>
  </r>
  <r>
    <n v="936"/>
    <n v="359"/>
    <x v="3"/>
    <x v="1"/>
    <x v="1"/>
    <n v="607"/>
    <n v="1007"/>
    <s v="1100 Block of POLK ST"/>
    <s v="800 Block of OFARRELL ST"/>
    <s v="NOT DELIVERED"/>
    <d v="2013-02-09T00:00:00"/>
    <m/>
    <n v="0.6028"/>
    <s v=""/>
    <s v="Delayed"/>
    <x v="7"/>
  </r>
  <r>
    <n v="762"/>
    <n v="2066"/>
    <x v="8"/>
    <x v="1"/>
    <x v="0"/>
    <n v="242"/>
    <n v="926"/>
    <s v="16TH ST / UTAH ST"/>
    <s v="400 Block of CASTRO ST"/>
    <s v="NOT DELIVERED"/>
    <d v="1978-03-21T00:00:00"/>
    <m/>
    <n v="0.26129999999999998"/>
    <s v=""/>
    <s v="Delayed"/>
    <x v="6"/>
  </r>
  <r>
    <n v="838"/>
    <n v="4322"/>
    <x v="6"/>
    <x v="1"/>
    <x v="1"/>
    <n v="593"/>
    <n v="1036"/>
    <s v="100 Block of GOLDEN GATE AV"/>
    <s v="800 Block of MISSION ST"/>
    <s v="DELIVERED"/>
    <d v="1995-01-05T00:00:00"/>
    <d v="1995-08-23T00:00:00"/>
    <n v="0.57240000000000002"/>
    <n v="230"/>
    <s v="Delayed"/>
    <x v="10"/>
  </r>
  <r>
    <n v="215"/>
    <n v="7773"/>
    <x v="3"/>
    <x v="0"/>
    <x v="1"/>
    <n v="812"/>
    <n v="1161"/>
    <s v="1500 Block of POLK ST"/>
    <s v="600 Block of KANSAS ST"/>
    <s v="DELIVERED"/>
    <d v="1985-01-10T00:00:00"/>
    <d v="1985-01-31T00:00:00"/>
    <n v="0.69940000000000002"/>
    <n v="21"/>
    <s v="Normal"/>
    <x v="10"/>
  </r>
  <r>
    <n v="818"/>
    <n v="6746"/>
    <x v="7"/>
    <x v="0"/>
    <x v="1"/>
    <n v="833"/>
    <n v="1016"/>
    <s v="POLK ST / SUTTER ST"/>
    <s v="1200 Block of NOE ST"/>
    <s v="DELIVERED"/>
    <d v="2006-08-28T00:00:00"/>
    <d v="2006-10-20T00:00:00"/>
    <n v="0.81989999999999996"/>
    <n v="53"/>
    <s v="Delayed"/>
    <x v="2"/>
  </r>
  <r>
    <n v="780"/>
    <n v="6732"/>
    <x v="0"/>
    <x v="1"/>
    <x v="1"/>
    <n v="872"/>
    <n v="1058"/>
    <s v="100 Block of BREWSTER ST"/>
    <s v="900 Block of MARKET ST"/>
    <s v="DELIVERED"/>
    <d v="1989-10-12T00:00:00"/>
    <d v="1989-10-17T00:00:00"/>
    <n v="0.82420000000000004"/>
    <n v="5"/>
    <s v="Fast"/>
    <x v="9"/>
  </r>
  <r>
    <n v="40"/>
    <n v="805"/>
    <x v="10"/>
    <x v="0"/>
    <x v="0"/>
    <n v="483"/>
    <n v="648"/>
    <s v="0 Block of TURK ST"/>
    <s v="900 Block of CAPITOL AV"/>
    <s v="NOT DELIVERED"/>
    <d v="1980-05-03T00:00:00"/>
    <m/>
    <n v="0.74539999999999995"/>
    <s v=""/>
    <s v="Delayed"/>
    <x v="8"/>
  </r>
  <r>
    <n v="366"/>
    <n v="7540"/>
    <x v="5"/>
    <x v="1"/>
    <x v="0"/>
    <n v="679"/>
    <n v="1015"/>
    <s v="1700 Block of SUNNYDALE AV"/>
    <s v="400 Block of BAKER ST"/>
    <s v="DELIVERED"/>
    <d v="1980-03-01T00:00:00"/>
    <d v="1980-03-16T00:00:00"/>
    <n v="0.66900000000000004"/>
    <n v="15"/>
    <s v="Normal"/>
    <x v="6"/>
  </r>
  <r>
    <n v="678"/>
    <n v="5269"/>
    <x v="7"/>
    <x v="1"/>
    <x v="1"/>
    <n v="318"/>
    <n v="938"/>
    <s v="SOUTH VAN NESS AV / 13TH ST"/>
    <s v="100 Block of LELAND AV"/>
    <s v="NOT DELIVERED"/>
    <d v="1994-01-15T00:00:00"/>
    <m/>
    <n v="0.33900000000000002"/>
    <s v=""/>
    <s v="Delayed"/>
    <x v="10"/>
  </r>
  <r>
    <n v="703"/>
    <n v="8404"/>
    <x v="2"/>
    <x v="0"/>
    <x v="1"/>
    <n v="329"/>
    <n v="597"/>
    <s v="22ND ST / CAROLINA ST"/>
    <s v="2600 Block of FOLSOM ST"/>
    <s v="NOT DELIVERED"/>
    <d v="2017-01-25T00:00:00"/>
    <m/>
    <n v="0.55110000000000003"/>
    <s v=""/>
    <s v="Delayed"/>
    <x v="10"/>
  </r>
  <r>
    <n v="180"/>
    <n v="519"/>
    <x v="1"/>
    <x v="0"/>
    <x v="0"/>
    <n v="588"/>
    <n v="1182"/>
    <s v="POWELL ST / GEARY ST"/>
    <s v="3RD ST / PALOU AV"/>
    <s v="NOT DELIVERED"/>
    <d v="1975-04-01T00:00:00"/>
    <m/>
    <n v="0.4975"/>
    <s v=""/>
    <s v="Delayed"/>
    <x v="0"/>
  </r>
  <r>
    <n v="214"/>
    <n v="4060"/>
    <x v="4"/>
    <x v="1"/>
    <x v="0"/>
    <n v="442"/>
    <n v="713"/>
    <s v="2500 Block of MISSION ST"/>
    <s v="2600 Block of 34TH AV"/>
    <s v="DELIVERED"/>
    <d v="1987-03-06T00:00:00"/>
    <d v="1987-08-09T00:00:00"/>
    <n v="0.61990000000000001"/>
    <n v="156"/>
    <s v="Delayed"/>
    <x v="6"/>
  </r>
  <r>
    <n v="408"/>
    <n v="8860"/>
    <x v="7"/>
    <x v="0"/>
    <x v="1"/>
    <n v="216"/>
    <n v="939"/>
    <s v="600 Block of VALENCIA ST"/>
    <s v="500 Block of 9TH ST"/>
    <s v="DELIVERED"/>
    <d v="1990-02-21T00:00:00"/>
    <d v="1990-09-11T00:00:00"/>
    <n v="0.23"/>
    <n v="202"/>
    <s v="Delayed"/>
    <x v="7"/>
  </r>
  <r>
    <n v="902"/>
    <n v="7164"/>
    <x v="9"/>
    <x v="0"/>
    <x v="1"/>
    <n v="946"/>
    <n v="1082"/>
    <s v="300 Block of OFARRELL ST"/>
    <s v="0 Block of RAE AV"/>
    <s v="DELIVERED"/>
    <d v="1989-01-06T00:00:00"/>
    <d v="1989-09-17T00:00:00"/>
    <n v="0.87429999999999997"/>
    <n v="254"/>
    <s v="Delayed"/>
    <x v="10"/>
  </r>
  <r>
    <n v="763"/>
    <n v="9792"/>
    <x v="1"/>
    <x v="1"/>
    <x v="1"/>
    <n v="796"/>
    <n v="1347"/>
    <s v="1700 Block of FULTON ST"/>
    <s v="100 Block of GOLDEN GATE AV"/>
    <s v="DELIVERED"/>
    <d v="2014-06-29T00:00:00"/>
    <d v="2014-09-09T00:00:00"/>
    <n v="0.59089999999999998"/>
    <n v="72"/>
    <s v="Delayed"/>
    <x v="1"/>
  </r>
  <r>
    <n v="168"/>
    <n v="9934"/>
    <x v="10"/>
    <x v="0"/>
    <x v="0"/>
    <n v="26"/>
    <n v="47"/>
    <s v="DIVISADERO ST / JACKSON ST"/>
    <s v="0 Block of DESOTO ST"/>
    <s v="DELIVERED"/>
    <d v="1997-01-05T00:00:00"/>
    <d v="1997-06-12T00:00:00"/>
    <n v="0.55320000000000003"/>
    <n v="158"/>
    <s v="Delayed"/>
    <x v="10"/>
  </r>
  <r>
    <n v="723"/>
    <n v="1980"/>
    <x v="8"/>
    <x v="0"/>
    <x v="1"/>
    <n v="490"/>
    <n v="762"/>
    <s v="SILLIMAN ST / BOWDOIN ST"/>
    <s v="200 Block of LEAVENWORTH ST"/>
    <s v="NOT DELIVERED"/>
    <d v="1981-07-23T00:00:00"/>
    <m/>
    <n v="0.64300000000000002"/>
    <s v=""/>
    <s v="Delayed"/>
    <x v="5"/>
  </r>
  <r>
    <n v="438"/>
    <n v="9251"/>
    <x v="2"/>
    <x v="0"/>
    <x v="0"/>
    <n v="430"/>
    <n v="642"/>
    <s v="2300 Block of CHESTNUT ST"/>
    <s v="LAKE MERCED BL / SUNSET BL"/>
    <s v="DELIVERED"/>
    <d v="1977-03-26T00:00:00"/>
    <d v="1977-03-30T00:00:00"/>
    <n v="0.66979999999999995"/>
    <n v="4"/>
    <s v="Fast"/>
    <x v="6"/>
  </r>
  <r>
    <n v="162"/>
    <n v="6717"/>
    <x v="10"/>
    <x v="0"/>
    <x v="1"/>
    <n v="209"/>
    <n v="665"/>
    <s v="500 Block of VALENCIA ST"/>
    <s v="6TH ST / STEVENSON ST"/>
    <s v="DELIVERED"/>
    <d v="1982-06-10T00:00:00"/>
    <d v="1982-10-29T00:00:00"/>
    <n v="0.31430000000000002"/>
    <n v="141"/>
    <s v="Delayed"/>
    <x v="1"/>
  </r>
  <r>
    <n v="246"/>
    <n v="3622"/>
    <x v="8"/>
    <x v="1"/>
    <x v="1"/>
    <n v="379"/>
    <n v="963"/>
    <s v="800 Block of 47TH AV"/>
    <s v="0 Block of LURLINE ST"/>
    <s v="DELIVERED"/>
    <d v="2019-03-03T00:00:00"/>
    <d v="2019-03-01T00:00:00"/>
    <n v="0.39360000000000001"/>
    <n v="-2"/>
    <s v="Invalid"/>
    <x v="6"/>
  </r>
  <r>
    <n v="105"/>
    <n v="8808"/>
    <x v="6"/>
    <x v="0"/>
    <x v="0"/>
    <n v="949"/>
    <n v="1419"/>
    <s v="KEITH ST / THOMAS AV"/>
    <s v="100 Block of CAPP ST"/>
    <s v="NOT DELIVERED"/>
    <d v="1997-08-27T00:00:00"/>
    <m/>
    <n v="0.66879999999999995"/>
    <s v=""/>
    <s v="Delayed"/>
    <x v="2"/>
  </r>
  <r>
    <n v="308"/>
    <n v="4920"/>
    <x v="3"/>
    <x v="0"/>
    <x v="1"/>
    <n v="438"/>
    <n v="656"/>
    <s v="LYON ST / OFARRELL ST"/>
    <s v="1200 Block of NOE ST"/>
    <s v="NOT DELIVERED"/>
    <d v="1979-01-28T00:00:00"/>
    <m/>
    <n v="0.66769999999999996"/>
    <s v=""/>
    <s v="Delayed"/>
    <x v="10"/>
  </r>
  <r>
    <n v="172"/>
    <n v="3140"/>
    <x v="4"/>
    <x v="1"/>
    <x v="1"/>
    <n v="726"/>
    <n v="1381"/>
    <s v="0 Block of HARRISON ST"/>
    <s v="1200 Block of GOLDEN GATE AV"/>
    <s v="DELIVERED"/>
    <d v="2004-10-29T00:00:00"/>
    <d v="2004-10-26T00:00:00"/>
    <n v="0.52569999999999995"/>
    <n v="-3"/>
    <s v="Invalid"/>
    <x v="9"/>
  </r>
  <r>
    <n v="775"/>
    <n v="8104"/>
    <x v="2"/>
    <x v="0"/>
    <x v="1"/>
    <n v="451"/>
    <n v="713"/>
    <s v="0 Block of 6TH ST"/>
    <s v="1400 Block of RANKIN ST"/>
    <s v="NOT DELIVERED"/>
    <d v="2004-09-28T00:00:00"/>
    <m/>
    <n v="0.63249999999999995"/>
    <s v=""/>
    <s v="Delayed"/>
    <x v="4"/>
  </r>
  <r>
    <n v="333"/>
    <n v="2208"/>
    <x v="1"/>
    <x v="0"/>
    <x v="0"/>
    <n v="812"/>
    <n v="1104"/>
    <s v="1800 Block of DONNER AV"/>
    <s v="19TH AV / LINCOLN WY"/>
    <s v="DELIVERED"/>
    <d v="2013-01-12T00:00:00"/>
    <d v="2013-08-11T00:00:00"/>
    <n v="0.73550000000000004"/>
    <n v="211"/>
    <s v="Delayed"/>
    <x v="10"/>
  </r>
  <r>
    <n v="548"/>
    <n v="7043"/>
    <x v="0"/>
    <x v="1"/>
    <x v="0"/>
    <n v="240"/>
    <n v="571"/>
    <s v="800 Block of INGERSON AV"/>
    <s v="MISSION ST / 2ND ST"/>
    <s v="NOT DELIVERED"/>
    <d v="2012-06-17T00:00:00"/>
    <m/>
    <n v="0.42030000000000001"/>
    <s v=""/>
    <s v="Delayed"/>
    <x v="1"/>
  </r>
  <r>
    <n v="665"/>
    <n v="7485"/>
    <x v="10"/>
    <x v="0"/>
    <x v="0"/>
    <n v="982"/>
    <n v="1405"/>
    <s v="1300 Block of REVERE AV"/>
    <s v="0 Block of WILLIAR AV"/>
    <s v="DELIVERED"/>
    <d v="2010-01-12T00:00:00"/>
    <d v="2010-04-27T00:00:00"/>
    <n v="0.69889999999999997"/>
    <n v="105"/>
    <s v="Delayed"/>
    <x v="10"/>
  </r>
  <r>
    <n v="305"/>
    <n v="1748"/>
    <x v="8"/>
    <x v="0"/>
    <x v="1"/>
    <n v="954"/>
    <n v="1473"/>
    <s v="0 Block of DORE ST"/>
    <s v="100 Block of TURK ST"/>
    <s v="DELIVERED"/>
    <d v="1992-08-11T00:00:00"/>
    <d v="1992-11-01T00:00:00"/>
    <n v="0.64770000000000005"/>
    <n v="82"/>
    <s v="Delayed"/>
    <x v="2"/>
  </r>
  <r>
    <n v="938"/>
    <n v="9968"/>
    <x v="7"/>
    <x v="0"/>
    <x v="0"/>
    <n v="35"/>
    <n v="20"/>
    <s v="1200 Block of THE EMBARCADERONORTH ST"/>
    <s v="500 Block of BRANNAN ST"/>
    <s v="NOT DELIVERED"/>
    <d v="2018-12-21T00:00:00"/>
    <m/>
    <n v="1.75"/>
    <s v=""/>
    <s v="Delayed"/>
    <x v="3"/>
  </r>
  <r>
    <n v="714"/>
    <n v="5330"/>
    <x v="3"/>
    <x v="0"/>
    <x v="1"/>
    <n v="148"/>
    <n v="835"/>
    <s v="PIERCE ST / LOMBARD ST"/>
    <s v="8TH AV / CLEMENT ST"/>
    <s v="DELIVERED"/>
    <d v="2011-04-22T00:00:00"/>
    <d v="2011-06-08T00:00:00"/>
    <n v="0.1772"/>
    <n v="47"/>
    <s v="Delayed"/>
    <x v="0"/>
  </r>
  <r>
    <n v="251"/>
    <n v="2183"/>
    <x v="4"/>
    <x v="1"/>
    <x v="0"/>
    <n v="422"/>
    <n v="651"/>
    <s v="1700 Block of NEWCOMB AV"/>
    <s v="1500 Block of LASALLE AV"/>
    <s v="DELIVERED"/>
    <d v="2003-10-25T00:00:00"/>
    <d v="2003-12-02T00:00:00"/>
    <n v="0.6482"/>
    <n v="38"/>
    <s v="Delayed"/>
    <x v="9"/>
  </r>
  <r>
    <n v="330"/>
    <n v="2182"/>
    <x v="2"/>
    <x v="0"/>
    <x v="1"/>
    <n v="275"/>
    <n v="653"/>
    <s v="2300 Block of 25TH AV"/>
    <s v="HOLLYPARK CR / MURRAY ST"/>
    <s v="NOT DELIVERED"/>
    <d v="2012-02-08T00:00:00"/>
    <m/>
    <n v="0.42109999999999997"/>
    <s v=""/>
    <s v="Delayed"/>
    <x v="7"/>
  </r>
  <r>
    <n v="69"/>
    <n v="1087"/>
    <x v="0"/>
    <x v="0"/>
    <x v="0"/>
    <n v="367"/>
    <n v="740"/>
    <s v="2000 Block of MISSION ST"/>
    <s v="2400 Block of SAN BRUNO AV"/>
    <s v="DELIVERED"/>
    <d v="2018-03-14T00:00:00"/>
    <d v="2018-08-30T00:00:00"/>
    <n v="0.49590000000000001"/>
    <n v="169"/>
    <s v="Delayed"/>
    <x v="6"/>
  </r>
  <r>
    <n v="969"/>
    <n v="4296"/>
    <x v="6"/>
    <x v="1"/>
    <x v="1"/>
    <n v="507"/>
    <n v="1334"/>
    <s v="1100 Block of CONNECTICUT ST"/>
    <s v="1700 Block of 22ND AV"/>
    <s v="DELIVERED"/>
    <d v="2013-03-19T00:00:00"/>
    <d v="2013-03-09T00:00:00"/>
    <n v="0.38009999999999999"/>
    <n v="-10"/>
    <s v="Invalid"/>
    <x v="6"/>
  </r>
  <r>
    <n v="974"/>
    <n v="9784"/>
    <x v="8"/>
    <x v="1"/>
    <x v="0"/>
    <n v="442"/>
    <n v="770"/>
    <s v="1000 Block of POTRERO AV"/>
    <s v="0 Block of LEAVENWORTH ST"/>
    <s v="DELIVERED"/>
    <d v="2013-04-23T00:00:00"/>
    <d v="2013-06-21T00:00:00"/>
    <n v="0.57399999999999995"/>
    <n v="59"/>
    <s v="Delayed"/>
    <x v="0"/>
  </r>
  <r>
    <n v="526"/>
    <n v="6210"/>
    <x v="10"/>
    <x v="1"/>
    <x v="0"/>
    <n v="510"/>
    <n v="1205"/>
    <s v="500 Block of 41ST AV"/>
    <s v="500 Block of GUERRERO ST"/>
    <s v="DELIVERED"/>
    <d v="1991-02-10T00:00:00"/>
    <d v="1991-07-03T00:00:00"/>
    <n v="0.42320000000000002"/>
    <n v="143"/>
    <s v="Delayed"/>
    <x v="7"/>
  </r>
  <r>
    <n v="510"/>
    <n v="5781"/>
    <x v="5"/>
    <x v="1"/>
    <x v="0"/>
    <n v="117"/>
    <n v="716"/>
    <s v="700 Block of MARKET ST"/>
    <s v="ELLIS ST / HYDE ST"/>
    <s v="NOT DELIVERED"/>
    <d v="1976-10-04T00:00:00"/>
    <m/>
    <n v="0.16339999999999999"/>
    <s v=""/>
    <s v="Delayed"/>
    <x v="9"/>
  </r>
  <r>
    <n v="444"/>
    <n v="8306"/>
    <x v="9"/>
    <x v="0"/>
    <x v="1"/>
    <n v="973"/>
    <n v="1250"/>
    <s v="0 Block of CASTLEMANOR AV"/>
    <s v="LANE ST / REVERE AV"/>
    <s v="NOT DELIVERED"/>
    <d v="1987-10-25T00:00:00"/>
    <m/>
    <n v="0.77839999999999998"/>
    <s v=""/>
    <s v="Delayed"/>
    <x v="9"/>
  </r>
  <r>
    <n v="503"/>
    <n v="3270"/>
    <x v="4"/>
    <x v="0"/>
    <x v="0"/>
    <n v="243"/>
    <n v="935"/>
    <s v="GEARY ST / HYDE ST"/>
    <s v="1200 Block of MARKET ST"/>
    <s v="DELIVERED"/>
    <d v="1974-03-26T00:00:00"/>
    <d v="1974-05-25T00:00:00"/>
    <n v="0.25990000000000002"/>
    <n v="60"/>
    <s v="Delayed"/>
    <x v="6"/>
  </r>
  <r>
    <n v="109"/>
    <n v="6787"/>
    <x v="1"/>
    <x v="0"/>
    <x v="1"/>
    <n v="715"/>
    <n v="1185"/>
    <s v="2000 Block of MISSION ST"/>
    <s v="500 Block of 39TH AV"/>
    <s v="NOT DELIVERED"/>
    <d v="2014-05-18T00:00:00"/>
    <m/>
    <n v="0.60340000000000005"/>
    <s v=""/>
    <s v="Delayed"/>
    <x v="8"/>
  </r>
  <r>
    <n v="823"/>
    <n v="3733"/>
    <x v="0"/>
    <x v="0"/>
    <x v="1"/>
    <n v="571"/>
    <n v="1031"/>
    <s v="700 Block of STANYAN ST"/>
    <s v="600 Block of MISSION ST"/>
    <s v="DELIVERED"/>
    <d v="1975-05-18T00:00:00"/>
    <d v="1975-05-20T00:00:00"/>
    <n v="0.55379999999999996"/>
    <n v="2"/>
    <s v="Fast"/>
    <x v="8"/>
  </r>
  <r>
    <n v="147"/>
    <n v="207"/>
    <x v="6"/>
    <x v="0"/>
    <x v="1"/>
    <n v="369"/>
    <n v="646"/>
    <s v="300 Block of ATHENS ST"/>
    <s v="1400 Block of CLAY ST"/>
    <s v="DELIVERED"/>
    <d v="2005-03-20T00:00:00"/>
    <d v="2005-09-15T00:00:00"/>
    <n v="0.57120000000000004"/>
    <n v="179"/>
    <s v="Delayed"/>
    <x v="6"/>
  </r>
  <r>
    <n v="625"/>
    <n v="3"/>
    <x v="6"/>
    <x v="1"/>
    <x v="0"/>
    <n v="318"/>
    <n v="980"/>
    <s v="5600 Block of DIAMONDHEIGHTS BL"/>
    <s v="100 Block of ELLIOT ST"/>
    <s v="NOT DELIVERED"/>
    <d v="2018-10-03T00:00:00"/>
    <m/>
    <n v="0.32450000000000001"/>
    <s v=""/>
    <s v="Delayed"/>
    <x v="9"/>
  </r>
  <r>
    <n v="695"/>
    <n v="1896"/>
    <x v="4"/>
    <x v="0"/>
    <x v="0"/>
    <n v="266"/>
    <n v="833"/>
    <s v="2000 Block of MISSION ST"/>
    <s v="4600 Block of IRVING ST"/>
    <s v="NOT DELIVERED"/>
    <d v="2013-09-25T00:00:00"/>
    <m/>
    <n v="0.31929999999999997"/>
    <s v=""/>
    <s v="Delayed"/>
    <x v="4"/>
  </r>
  <r>
    <n v="983"/>
    <n v="9631"/>
    <x v="2"/>
    <x v="1"/>
    <x v="0"/>
    <n v="60"/>
    <n v="166"/>
    <s v="200 Block of TURK ST"/>
    <s v="0 Block of ANKENY ST"/>
    <s v="NOT DELIVERED"/>
    <d v="1993-07-09T00:00:00"/>
    <m/>
    <n v="0.3614"/>
    <s v=""/>
    <s v="Delayed"/>
    <x v="5"/>
  </r>
  <r>
    <n v="82"/>
    <n v="3132"/>
    <x v="1"/>
    <x v="1"/>
    <x v="1"/>
    <n v="121"/>
    <n v="557"/>
    <s v="NATOMA ST / 2ND ST"/>
    <s v="3500 Block of MISSION ST"/>
    <s v="NOT DELIVERED"/>
    <d v="1997-05-29T00:00:00"/>
    <m/>
    <n v="0.2172"/>
    <s v=""/>
    <s v="Delayed"/>
    <x v="8"/>
  </r>
  <r>
    <n v="397"/>
    <n v="1202"/>
    <x v="8"/>
    <x v="1"/>
    <x v="1"/>
    <n v="876"/>
    <n v="1045"/>
    <s v="1600 Block of DONNER AV"/>
    <s v="800 Block of LARKIN ST"/>
    <s v="NOT DELIVERED"/>
    <d v="2004-02-29T00:00:00"/>
    <m/>
    <n v="0.83830000000000005"/>
    <s v=""/>
    <s v="Delayed"/>
    <x v="7"/>
  </r>
  <r>
    <n v="599"/>
    <n v="8834"/>
    <x v="6"/>
    <x v="0"/>
    <x v="0"/>
    <n v="946"/>
    <n v="1100"/>
    <s v="400 Block of ELLIS ST"/>
    <s v="800 Block of MOSCOW ST"/>
    <s v="NOT DELIVERED"/>
    <d v="2001-08-31T00:00:00"/>
    <m/>
    <n v="0.86"/>
    <s v=""/>
    <s v="Delayed"/>
    <x v="2"/>
  </r>
  <r>
    <n v="306"/>
    <n v="1201"/>
    <x v="7"/>
    <x v="0"/>
    <x v="0"/>
    <n v="654"/>
    <n v="1150"/>
    <s v="100 Block of LEAVENWORTH ST"/>
    <s v="100 Block of PERSIA AV"/>
    <s v="DELIVERED"/>
    <d v="1983-01-28T00:00:00"/>
    <d v="1983-07-22T00:00:00"/>
    <n v="0.56869999999999998"/>
    <n v="175"/>
    <s v="Delayed"/>
    <x v="10"/>
  </r>
  <r>
    <n v="536"/>
    <n v="2573"/>
    <x v="9"/>
    <x v="0"/>
    <x v="1"/>
    <n v="74"/>
    <n v="281"/>
    <s v="100 Block of POWELL ST"/>
    <s v="0 Block of TAYLOR ST"/>
    <s v="DELIVERED"/>
    <d v="2016-09-23T00:00:00"/>
    <d v="2016-09-21T00:00:00"/>
    <n v="0.26329999999999998"/>
    <n v="-2"/>
    <s v="Invalid"/>
    <x v="4"/>
  </r>
  <r>
    <n v="20"/>
    <n v="6759"/>
    <x v="9"/>
    <x v="0"/>
    <x v="0"/>
    <n v="630"/>
    <n v="1062"/>
    <s v="1600 Block of 39TH AV"/>
    <s v="PARNASSUS AV / CLAYTON ST"/>
    <s v="NOT DELIVERED"/>
    <d v="2017-09-29T00:00:00"/>
    <m/>
    <n v="0.59319999999999995"/>
    <s v=""/>
    <s v="Delayed"/>
    <x v="4"/>
  </r>
  <r>
    <n v="515"/>
    <n v="2601"/>
    <x v="0"/>
    <x v="0"/>
    <x v="1"/>
    <n v="782"/>
    <n v="1425"/>
    <s v="MARKET ST / CHURCH ST"/>
    <s v="LOMBARD ST / LEAVENWORTH ST"/>
    <s v="NOT DELIVERED"/>
    <d v="1996-01-01T00:00:00"/>
    <m/>
    <n v="0.54879999999999995"/>
    <s v=""/>
    <s v="Delayed"/>
    <x v="10"/>
  </r>
  <r>
    <n v="332"/>
    <n v="2656"/>
    <x v="1"/>
    <x v="1"/>
    <x v="0"/>
    <n v="45"/>
    <n v="39"/>
    <s v="100 Block of UPPER TR"/>
    <s v="POST ST / HYDE ST"/>
    <s v="NOT DELIVERED"/>
    <d v="2008-09-14T00:00:00"/>
    <m/>
    <n v="1.1537999999999999"/>
    <s v=""/>
    <s v="Delayed"/>
    <x v="4"/>
  </r>
  <r>
    <n v="127"/>
    <n v="9645"/>
    <x v="1"/>
    <x v="1"/>
    <x v="1"/>
    <n v="916"/>
    <n v="1143"/>
    <s v="300 Block of SALINAS AV"/>
    <s v="1900 Block of FILLMORE ST"/>
    <s v="DELIVERED"/>
    <d v="2006-01-08T00:00:00"/>
    <d v="2006-01-09T00:00:00"/>
    <n v="0.8014"/>
    <n v="1"/>
    <s v="Fast"/>
    <x v="10"/>
  </r>
  <r>
    <n v="958"/>
    <n v="584"/>
    <x v="7"/>
    <x v="1"/>
    <x v="1"/>
    <n v="274"/>
    <n v="669"/>
    <s v="0 Block of GOLDEN GATE AV"/>
    <s v="900 Block of MARIPOSA ST"/>
    <s v="NOT DELIVERED"/>
    <d v="2016-02-24T00:00:00"/>
    <m/>
    <n v="0.40960000000000002"/>
    <s v=""/>
    <s v="Delayed"/>
    <x v="7"/>
  </r>
  <r>
    <n v="42"/>
    <n v="2121"/>
    <x v="10"/>
    <x v="0"/>
    <x v="0"/>
    <n v="987"/>
    <n v="1134"/>
    <s v="MINNA ST / 5TH ST"/>
    <s v="MARKET ST / 5TH ST"/>
    <s v="DELIVERED"/>
    <d v="1979-01-20T00:00:00"/>
    <d v="1979-09-12T00:00:00"/>
    <n v="0.87039999999999995"/>
    <n v="235"/>
    <s v="Delayed"/>
    <x v="10"/>
  </r>
  <r>
    <n v="977"/>
    <n v="2142"/>
    <x v="10"/>
    <x v="1"/>
    <x v="0"/>
    <n v="434"/>
    <n v="558"/>
    <s v="200 Block of MISSOURI ST"/>
    <s v="900 Block of ELLSWORTH ST"/>
    <s v="DELIVERED"/>
    <d v="2002-02-03T00:00:00"/>
    <d v="2002-10-20T00:00:00"/>
    <n v="0.77780000000000005"/>
    <n v="259"/>
    <s v="Delayed"/>
    <x v="7"/>
  </r>
  <r>
    <n v="460"/>
    <n v="2396"/>
    <x v="3"/>
    <x v="1"/>
    <x v="1"/>
    <n v="897"/>
    <n v="1313"/>
    <s v="100 Block of EDDY ST"/>
    <s v="1400 Block of KIRKWOOD CT"/>
    <s v="DELIVERED"/>
    <d v="2005-04-16T00:00:00"/>
    <d v="2005-09-15T00:00:00"/>
    <n v="0.68320000000000003"/>
    <n v="152"/>
    <s v="Delayed"/>
    <x v="0"/>
  </r>
  <r>
    <n v="659"/>
    <n v="8747"/>
    <x v="8"/>
    <x v="1"/>
    <x v="0"/>
    <n v="442"/>
    <n v="595"/>
    <s v="0 Block of UNITEDNATIONS PZ"/>
    <s v="200 Block of HAHN ST"/>
    <s v="DELIVERED"/>
    <d v="1998-02-21T00:00:00"/>
    <d v="1998-09-11T00:00:00"/>
    <n v="0.7429"/>
    <n v="202"/>
    <s v="Delayed"/>
    <x v="7"/>
  </r>
  <r>
    <n v="197"/>
    <n v="4142"/>
    <x v="4"/>
    <x v="0"/>
    <x v="1"/>
    <n v="98"/>
    <n v="360"/>
    <s v="300 Block of BUCHANAN ST"/>
    <s v="2800 Block of BRYANT ST"/>
    <s v="DELIVERED"/>
    <d v="1989-03-29T00:00:00"/>
    <d v="1989-08-23T00:00:00"/>
    <n v="0.2722"/>
    <n v="147"/>
    <s v="Delayed"/>
    <x v="6"/>
  </r>
  <r>
    <n v="540"/>
    <n v="9770"/>
    <x v="1"/>
    <x v="1"/>
    <x v="1"/>
    <n v="431"/>
    <n v="934"/>
    <s v="4000 Block of GEARY BL"/>
    <s v="1000 Block of POTRERO AV"/>
    <s v="DELIVERED"/>
    <d v="1977-04-21T00:00:00"/>
    <d v="1977-11-08T00:00:00"/>
    <n v="0.46150000000000002"/>
    <n v="201"/>
    <s v="Delayed"/>
    <x v="0"/>
  </r>
  <r>
    <n v="178"/>
    <n v="2593"/>
    <x v="9"/>
    <x v="1"/>
    <x v="1"/>
    <n v="745"/>
    <n v="1383"/>
    <s v="3100 Block of 23RD ST"/>
    <s v="GEARY ST / POWELL ST"/>
    <s v="DELIVERED"/>
    <d v="2009-01-01T00:00:00"/>
    <d v="2009-01-26T00:00:00"/>
    <n v="0.53869999999999996"/>
    <n v="25"/>
    <s v="Normal"/>
    <x v="10"/>
  </r>
  <r>
    <n v="202"/>
    <n v="9807"/>
    <x v="2"/>
    <x v="1"/>
    <x v="1"/>
    <n v="871"/>
    <n v="1274"/>
    <s v="200 Block of HAHN ST"/>
    <s v="600 Block of VALENCIA ST"/>
    <s v="DELIVERED"/>
    <d v="2001-01-27T00:00:00"/>
    <d v="2001-08-03T00:00:00"/>
    <n v="0.68369999999999997"/>
    <n v="188"/>
    <s v="Delayed"/>
    <x v="10"/>
  </r>
  <r>
    <n v="632"/>
    <n v="2525"/>
    <x v="6"/>
    <x v="0"/>
    <x v="0"/>
    <n v="67"/>
    <n v="193"/>
    <s v="CAPP ST / 17TH ST"/>
    <s v="ALEMANY BL / ELLSWORTH ST"/>
    <s v="DELIVERED"/>
    <d v="1992-08-26T00:00:00"/>
    <d v="1992-12-25T00:00:00"/>
    <n v="0.34720000000000001"/>
    <n v="121"/>
    <s v="Delayed"/>
    <x v="2"/>
  </r>
  <r>
    <n v="25"/>
    <n v="1724"/>
    <x v="2"/>
    <x v="0"/>
    <x v="1"/>
    <n v="431"/>
    <n v="702"/>
    <s v="4TH ST / HARRISON ST"/>
    <s v="600 Block of CLAY ST"/>
    <s v="DELIVERED"/>
    <d v="2004-05-29T00:00:00"/>
    <d v="2004-05-17T00:00:00"/>
    <n v="0.61399999999999999"/>
    <n v="-12"/>
    <s v="Invalid"/>
    <x v="8"/>
  </r>
  <r>
    <n v="990"/>
    <n v="7146"/>
    <x v="9"/>
    <x v="1"/>
    <x v="0"/>
    <n v="178"/>
    <n v="646"/>
    <s v="700 Block of BATTERY ST"/>
    <s v="0 Block of MARINA BL"/>
    <s v="DELIVERED"/>
    <d v="2003-05-18T00:00:00"/>
    <d v="2003-11-28T00:00:00"/>
    <n v="0.27550000000000002"/>
    <n v="194"/>
    <s v="Delayed"/>
    <x v="8"/>
  </r>
  <r>
    <n v="913"/>
    <n v="563"/>
    <x v="2"/>
    <x v="0"/>
    <x v="1"/>
    <n v="180"/>
    <n v="755"/>
    <s v="5TH ST / MARKET ST"/>
    <s v="MONTGOMERY ST / VALLEJO ST"/>
    <s v="NOT DELIVERED"/>
    <d v="1974-05-08T00:00:00"/>
    <m/>
    <n v="0.2384"/>
    <s v=""/>
    <s v="Delayed"/>
    <x v="8"/>
  </r>
  <r>
    <n v="371"/>
    <n v="7771"/>
    <x v="10"/>
    <x v="0"/>
    <x v="1"/>
    <n v="280"/>
    <n v="990"/>
    <s v="2400 Block of MISSION ST"/>
    <s v="BEACH ST / TAYLOR ST"/>
    <s v="NOT DELIVERED"/>
    <d v="1975-07-03T00:00:00"/>
    <m/>
    <n v="0.2828"/>
    <s v=""/>
    <s v="Delayed"/>
    <x v="5"/>
  </r>
  <r>
    <n v="514"/>
    <n v="4789"/>
    <x v="7"/>
    <x v="0"/>
    <x v="1"/>
    <n v="263"/>
    <n v="965"/>
    <s v="TARAVAL ST / 17TH AV"/>
    <s v="EDDY ST / MASON ST"/>
    <s v="NOT DELIVERED"/>
    <d v="1982-05-18T00:00:00"/>
    <m/>
    <n v="0.27250000000000002"/>
    <s v=""/>
    <s v="Delayed"/>
    <x v="8"/>
  </r>
  <r>
    <n v="707"/>
    <n v="3221"/>
    <x v="8"/>
    <x v="0"/>
    <x v="0"/>
    <n v="187"/>
    <n v="931"/>
    <s v="19TH ST / SHOTWELL ST"/>
    <s v="7TH ST / STEVENSON ST"/>
    <s v="NOT DELIVERED"/>
    <d v="2007-06-19T00:00:00"/>
    <m/>
    <n v="0.2009"/>
    <s v=""/>
    <s v="Delayed"/>
    <x v="1"/>
  </r>
  <r>
    <n v="473"/>
    <n v="5197"/>
    <x v="10"/>
    <x v="1"/>
    <x v="0"/>
    <n v="94"/>
    <n v="361"/>
    <s v="2300 Block of 14TH AV"/>
    <s v="0 Block of 12TH ST"/>
    <s v="DELIVERED"/>
    <d v="2012-01-25T00:00:00"/>
    <d v="2012-01-17T00:00:00"/>
    <n v="0.26040000000000002"/>
    <n v="-8"/>
    <s v="Invalid"/>
    <x v="10"/>
  </r>
  <r>
    <n v="847"/>
    <n v="8183"/>
    <x v="5"/>
    <x v="1"/>
    <x v="1"/>
    <n v="906"/>
    <n v="1297"/>
    <s v="2100 Block of MISSION ST"/>
    <s v="1100 Block of FOLSOM ST"/>
    <s v="NOT DELIVERED"/>
    <d v="1983-04-17T00:00:00"/>
    <m/>
    <n v="0.69850000000000001"/>
    <s v=""/>
    <s v="Delayed"/>
    <x v="0"/>
  </r>
  <r>
    <n v="815"/>
    <n v="1126"/>
    <x v="0"/>
    <x v="1"/>
    <x v="0"/>
    <n v="71"/>
    <n v="130"/>
    <s v="1400 Block of VANDYKE AV"/>
    <s v="EDDY ST / VANNESS AV"/>
    <s v="DELIVERED"/>
    <d v="2010-01-30T00:00:00"/>
    <d v="2010-03-02T00:00:00"/>
    <n v="0.54620000000000002"/>
    <n v="31"/>
    <s v="Delayed"/>
    <x v="10"/>
  </r>
  <r>
    <n v="928"/>
    <n v="4899"/>
    <x v="7"/>
    <x v="1"/>
    <x v="1"/>
    <n v="253"/>
    <n v="904"/>
    <s v="800 Block of MARKET ST"/>
    <s v="800 Block of MARKET ST"/>
    <s v="NOT DELIVERED"/>
    <d v="1973-09-05T00:00:00"/>
    <m/>
    <n v="0.27989999999999998"/>
    <s v=""/>
    <s v="Delayed"/>
    <x v="4"/>
  </r>
  <r>
    <n v="210"/>
    <n v="4732"/>
    <x v="2"/>
    <x v="1"/>
    <x v="1"/>
    <n v="591"/>
    <n v="1433"/>
    <s v="300 Block of COLLINGWOOD ST"/>
    <s v="900 Block of MARKET ST"/>
    <s v="NOT DELIVERED"/>
    <d v="2005-10-23T00:00:00"/>
    <m/>
    <n v="0.41239999999999999"/>
    <s v=""/>
    <s v="Delayed"/>
    <x v="9"/>
  </r>
  <r>
    <n v="793"/>
    <n v="4103"/>
    <x v="8"/>
    <x v="0"/>
    <x v="0"/>
    <n v="399"/>
    <n v="835"/>
    <s v="400 Block of ELLIS ST"/>
    <s v="17TH ST / SHOTWELL ST"/>
    <s v="NOT DELIVERED"/>
    <d v="1996-07-06T00:00:00"/>
    <m/>
    <n v="0.4778"/>
    <s v=""/>
    <s v="Delayed"/>
    <x v="5"/>
  </r>
  <r>
    <n v="872"/>
    <n v="7861"/>
    <x v="8"/>
    <x v="1"/>
    <x v="1"/>
    <n v="91"/>
    <n v="242"/>
    <s v="21ST ST / POTRERO AV"/>
    <s v="400 Block of GENEVA AV"/>
    <s v="DELIVERED"/>
    <d v="2008-05-21T00:00:00"/>
    <d v="2008-05-17T00:00:00"/>
    <n v="0.376"/>
    <n v="-4"/>
    <s v="Invalid"/>
    <x v="8"/>
  </r>
  <r>
    <n v="298"/>
    <n v="7764"/>
    <x v="7"/>
    <x v="1"/>
    <x v="0"/>
    <n v="717"/>
    <n v="1297"/>
    <s v="200 Block of 11TH AV"/>
    <s v="400 Block of TURK ST"/>
    <s v="NOT DELIVERED"/>
    <d v="1979-05-13T00:00:00"/>
    <m/>
    <n v="0.55279999999999996"/>
    <s v=""/>
    <s v="Delayed"/>
    <x v="8"/>
  </r>
  <r>
    <n v="941"/>
    <n v="5345"/>
    <x v="4"/>
    <x v="1"/>
    <x v="0"/>
    <n v="735"/>
    <n v="1181"/>
    <s v="17TH ST / FOLSOM ST"/>
    <s v="400 Block of BRIGHT ST"/>
    <s v="DELIVERED"/>
    <d v="2010-07-01T00:00:00"/>
    <d v="2010-08-28T00:00:00"/>
    <n v="0.62239999999999995"/>
    <n v="58"/>
    <s v="Delayed"/>
    <x v="5"/>
  </r>
  <r>
    <n v="731"/>
    <n v="6191"/>
    <x v="7"/>
    <x v="0"/>
    <x v="1"/>
    <n v="970"/>
    <n v="1242"/>
    <s v="KEITH ST / SHAFTER AV"/>
    <s v="0 Block of SPOFFORD LN"/>
    <s v="NOT DELIVERED"/>
    <d v="1983-07-05T00:00:00"/>
    <m/>
    <n v="0.78100000000000003"/>
    <s v=""/>
    <s v="Delayed"/>
    <x v="5"/>
  </r>
  <r>
    <n v="500"/>
    <n v="310"/>
    <x v="10"/>
    <x v="0"/>
    <x v="0"/>
    <n v="80"/>
    <n v="236"/>
    <s v="900 Block of LARKIN ST"/>
    <s v="900 Block of STOCKTON ST"/>
    <s v="NOT DELIVERED"/>
    <d v="1980-07-05T00:00:00"/>
    <m/>
    <n v="0.33900000000000002"/>
    <s v=""/>
    <s v="Delayed"/>
    <x v="5"/>
  </r>
  <r>
    <n v="142"/>
    <n v="3095"/>
    <x v="10"/>
    <x v="0"/>
    <x v="1"/>
    <n v="550"/>
    <n v="1171"/>
    <s v="400 Block of TURK ST"/>
    <s v="MADRID ST / RUSSIA AV"/>
    <s v="NOT DELIVERED"/>
    <d v="1983-08-21T00:00:00"/>
    <m/>
    <n v="0.46970000000000001"/>
    <s v=""/>
    <s v="Delayed"/>
    <x v="2"/>
  </r>
  <r>
    <n v="787"/>
    <n v="2159"/>
    <x v="10"/>
    <x v="1"/>
    <x v="1"/>
    <n v="187"/>
    <n v="864"/>
    <s v="0 Block of OFARRELL ST"/>
    <s v="200 Block of TURK ST"/>
    <s v="DELIVERED"/>
    <d v="2011-03-28T00:00:00"/>
    <d v="2011-06-25T00:00:00"/>
    <n v="0.21640000000000001"/>
    <n v="89"/>
    <s v="Delayed"/>
    <x v="6"/>
  </r>
  <r>
    <n v="749"/>
    <n v="3569"/>
    <x v="8"/>
    <x v="1"/>
    <x v="1"/>
    <n v="262"/>
    <n v="875"/>
    <s v="0 Block of PAYSON ST"/>
    <s v="0 Block of POWELL ST"/>
    <s v="DELIVERED"/>
    <d v="2014-04-30T00:00:00"/>
    <d v="2014-07-02T00:00:00"/>
    <n v="0.2994"/>
    <n v="63"/>
    <s v="Delayed"/>
    <x v="0"/>
  </r>
  <r>
    <n v="304"/>
    <n v="5958"/>
    <x v="4"/>
    <x v="0"/>
    <x v="0"/>
    <n v="540"/>
    <n v="1172"/>
    <s v="500 Block of STEVENSON ST"/>
    <s v="HYDE ST / TURK ST"/>
    <s v="DELIVERED"/>
    <d v="2004-03-20T00:00:00"/>
    <d v="2004-09-25T00:00:00"/>
    <n v="0.46079999999999999"/>
    <n v="189"/>
    <s v="Delayed"/>
    <x v="6"/>
  </r>
  <r>
    <n v="30"/>
    <n v="1275"/>
    <x v="5"/>
    <x v="0"/>
    <x v="0"/>
    <n v="581"/>
    <n v="1422"/>
    <s v="CALIFORNIA ST / DAVIS ST"/>
    <s v="0 Block of STOCKTON ST"/>
    <s v="DELIVERED"/>
    <d v="2010-02-19T00:00:00"/>
    <d v="2010-03-09T00:00:00"/>
    <n v="0.40860000000000002"/>
    <n v="18"/>
    <s v="Normal"/>
    <x v="7"/>
  </r>
  <r>
    <n v="477"/>
    <n v="6357"/>
    <x v="5"/>
    <x v="1"/>
    <x v="0"/>
    <n v="840"/>
    <n v="1061"/>
    <s v="400 Block of LEAVENWORTH ST"/>
    <s v="NEWCOMB AV / 3RD ST"/>
    <s v="NOT DELIVERED"/>
    <d v="1986-09-07T00:00:00"/>
    <m/>
    <n v="0.79169999999999996"/>
    <s v=""/>
    <s v="Delayed"/>
    <x v="4"/>
  </r>
  <r>
    <n v="52"/>
    <n v="4551"/>
    <x v="7"/>
    <x v="0"/>
    <x v="1"/>
    <n v="873"/>
    <n v="1199"/>
    <s v="1000 Block of COLUMBUS AV"/>
    <s v="1400 Block of PHELPS ST"/>
    <s v="NOT DELIVERED"/>
    <d v="2016-05-20T00:00:00"/>
    <m/>
    <n v="0.72809999999999997"/>
    <s v=""/>
    <s v="Delayed"/>
    <x v="8"/>
  </r>
  <r>
    <n v="73"/>
    <n v="4252"/>
    <x v="2"/>
    <x v="0"/>
    <x v="1"/>
    <n v="315"/>
    <n v="937"/>
    <s v="800 Block of BRYANT ST"/>
    <s v="3800 Block of 24TH ST"/>
    <s v="NOT DELIVERED"/>
    <d v="1993-03-06T00:00:00"/>
    <m/>
    <n v="0.3362"/>
    <s v=""/>
    <s v="Delayed"/>
    <x v="6"/>
  </r>
  <r>
    <n v="691"/>
    <n v="2096"/>
    <x v="6"/>
    <x v="0"/>
    <x v="0"/>
    <n v="955"/>
    <n v="1369"/>
    <s v="5TH ST / MISSION ST"/>
    <s v="1500 Block of HAIGHT ST"/>
    <s v="DELIVERED"/>
    <d v="2012-05-02T00:00:00"/>
    <d v="2012-08-20T00:00:00"/>
    <n v="0.6976"/>
    <n v="110"/>
    <s v="Delayed"/>
    <x v="8"/>
  </r>
  <r>
    <n v="786"/>
    <n v="5209"/>
    <x v="0"/>
    <x v="1"/>
    <x v="1"/>
    <n v="372"/>
    <n v="679"/>
    <s v="3600 Block of SACRAMENTO ST"/>
    <s v="SCOTT ST / CHESTNUT ST"/>
    <s v="DELIVERED"/>
    <d v="1976-06-06T00:00:00"/>
    <d v="1976-08-31T00:00:00"/>
    <n v="0.54790000000000005"/>
    <n v="86"/>
    <s v="Delayed"/>
    <x v="1"/>
  </r>
  <r>
    <n v="68"/>
    <n v="9271"/>
    <x v="10"/>
    <x v="0"/>
    <x v="1"/>
    <n v="182"/>
    <n v="726"/>
    <s v="1700 Block of FULTON ST"/>
    <s v="300 Block of HAIGHT ST"/>
    <s v="NOT DELIVERED"/>
    <d v="2004-07-30T00:00:00"/>
    <m/>
    <n v="0.25069999999999998"/>
    <s v=""/>
    <s v="Delayed"/>
    <x v="5"/>
  </r>
  <r>
    <n v="630"/>
    <n v="6772"/>
    <x v="7"/>
    <x v="0"/>
    <x v="0"/>
    <n v="868"/>
    <n v="1320"/>
    <s v="3300 Block of BALBOA ST"/>
    <s v="300 Block of ELLIS ST"/>
    <s v="DELIVERED"/>
    <d v="2009-02-23T00:00:00"/>
    <d v="2009-09-29T00:00:00"/>
    <n v="0.65759999999999996"/>
    <n v="218"/>
    <s v="Delayed"/>
    <x v="7"/>
  </r>
  <r>
    <n v="357"/>
    <n v="4628"/>
    <x v="0"/>
    <x v="1"/>
    <x v="1"/>
    <n v="777"/>
    <n v="1113"/>
    <s v="200 Block of KING ST"/>
    <s v="0 Block of FUENTE AV"/>
    <s v="NOT DELIVERED"/>
    <d v="1990-10-11T00:00:00"/>
    <m/>
    <n v="0.69810000000000005"/>
    <s v=""/>
    <s v="Delayed"/>
    <x v="9"/>
  </r>
  <r>
    <n v="455"/>
    <n v="3853"/>
    <x v="9"/>
    <x v="1"/>
    <x v="0"/>
    <n v="172"/>
    <n v="580"/>
    <s v="LASALLE AV / PHELPS ST"/>
    <s v="2000 Block of MISSION ST"/>
    <s v="NOT DELIVERED"/>
    <d v="2011-10-08T00:00:00"/>
    <m/>
    <n v="0.29659999999999997"/>
    <s v=""/>
    <s v="Delayed"/>
    <x v="9"/>
  </r>
  <r>
    <n v="947"/>
    <n v="515"/>
    <x v="5"/>
    <x v="1"/>
    <x v="1"/>
    <n v="665"/>
    <n v="1257"/>
    <s v="3300 Block of 22ND ST"/>
    <s v="CALIFORNIA ST / POLK ST"/>
    <s v="DELIVERED"/>
    <d v="1987-01-15T00:00:00"/>
    <d v="1987-04-30T00:00:00"/>
    <n v="0.52900000000000003"/>
    <n v="105"/>
    <s v="Delayed"/>
    <x v="10"/>
  </r>
  <r>
    <n v="589"/>
    <n v="7513"/>
    <x v="10"/>
    <x v="1"/>
    <x v="1"/>
    <n v="516"/>
    <n v="1084"/>
    <s v="16TH ST / MISSOURI ST"/>
    <s v="200 Block of HARKNESS AV"/>
    <s v="NOT DELIVERED"/>
    <d v="1971-02-06T00:00:00"/>
    <m/>
    <n v="0.47599999999999998"/>
    <s v=""/>
    <s v="Delayed"/>
    <x v="7"/>
  </r>
  <r>
    <n v="863"/>
    <n v="9030"/>
    <x v="8"/>
    <x v="1"/>
    <x v="0"/>
    <n v="412"/>
    <n v="872"/>
    <s v="WINSTON DR / 19TH AV"/>
    <s v="300 Block of BEALE ST"/>
    <s v="NOT DELIVERED"/>
    <d v="1975-03-04T00:00:00"/>
    <m/>
    <n v="0.47249999999999998"/>
    <s v=""/>
    <s v="Delayed"/>
    <x v="6"/>
  </r>
  <r>
    <n v="668"/>
    <n v="2378"/>
    <x v="1"/>
    <x v="0"/>
    <x v="1"/>
    <n v="938"/>
    <n v="1067"/>
    <s v="2100 Block of 16TH AV"/>
    <s v="5TH ST / MARKET ST"/>
    <s v="DELIVERED"/>
    <d v="1972-06-10T00:00:00"/>
    <d v="1972-06-16T00:00:00"/>
    <n v="0.87909999999999999"/>
    <n v="6"/>
    <s v="Fast"/>
    <x v="1"/>
  </r>
  <r>
    <n v="206"/>
    <n v="5894"/>
    <x v="1"/>
    <x v="1"/>
    <x v="1"/>
    <n v="854"/>
    <n v="1251"/>
    <s v="1900 Block of WASHINGTON ST"/>
    <s v="CALIFORNIA ST / FILLMORE ST"/>
    <s v="NOT DELIVERED"/>
    <d v="2012-06-25T00:00:00"/>
    <m/>
    <n v="0.68269999999999997"/>
    <s v=""/>
    <s v="Delayed"/>
    <x v="1"/>
  </r>
  <r>
    <n v="835"/>
    <n v="7587"/>
    <x v="1"/>
    <x v="1"/>
    <x v="0"/>
    <n v="638"/>
    <n v="1314"/>
    <s v="MARTIN LUTHER KING JR DR / 9TH AV"/>
    <s v="0 Block of TURK ST"/>
    <s v="NOT DELIVERED"/>
    <d v="1977-01-05T00:00:00"/>
    <m/>
    <n v="0.48549999999999999"/>
    <s v=""/>
    <s v="Delayed"/>
    <x v="10"/>
  </r>
  <r>
    <n v="315"/>
    <n v="1424"/>
    <x v="4"/>
    <x v="0"/>
    <x v="1"/>
    <n v="230"/>
    <n v="638"/>
    <s v="3RD AV / BALBOA ST"/>
    <s v="400 Block of LAKESHORE DR"/>
    <s v="NOT DELIVERED"/>
    <d v="1995-11-26T00:00:00"/>
    <m/>
    <n v="0.36049999999999999"/>
    <s v=""/>
    <s v="Delayed"/>
    <x v="11"/>
  </r>
  <r>
    <n v="553"/>
    <n v="5214"/>
    <x v="10"/>
    <x v="0"/>
    <x v="0"/>
    <n v="245"/>
    <n v="611"/>
    <s v="3800 Block of MISSION ST"/>
    <s v="100 Block of PAGE ST"/>
    <s v="NOT DELIVERED"/>
    <d v="1995-07-26T00:00:00"/>
    <m/>
    <n v="0.40100000000000002"/>
    <s v=""/>
    <s v="Delayed"/>
    <x v="5"/>
  </r>
  <r>
    <n v="861"/>
    <n v="8249"/>
    <x v="1"/>
    <x v="1"/>
    <x v="0"/>
    <n v="916"/>
    <n v="1255"/>
    <s v="500 Block of JOHNFKENNEDY DR"/>
    <s v="VALLEJO ST / KEARNY ST"/>
    <s v="DELIVERED"/>
    <d v="1996-02-09T00:00:00"/>
    <d v="1996-09-13T00:00:00"/>
    <n v="0.72989999999999999"/>
    <n v="217"/>
    <s v="Delayed"/>
    <x v="7"/>
  </r>
  <r>
    <n v="279"/>
    <n v="3172"/>
    <x v="9"/>
    <x v="1"/>
    <x v="0"/>
    <n v="84"/>
    <n v="464"/>
    <s v="800 Block of MARKET ST"/>
    <s v="1500 Block of SLOAT BL"/>
    <s v="NOT DELIVERED"/>
    <d v="2016-03-18T00:00:00"/>
    <m/>
    <n v="0.18099999999999999"/>
    <s v=""/>
    <s v="Delayed"/>
    <x v="6"/>
  </r>
  <r>
    <n v="75"/>
    <n v="5489"/>
    <x v="5"/>
    <x v="0"/>
    <x v="0"/>
    <n v="869"/>
    <n v="1317"/>
    <s v="100 Block of POWELL ST"/>
    <s v="GOLDEN GATE AV / LEAVENWORTH ST"/>
    <s v="DELIVERED"/>
    <d v="2002-05-28T00:00:00"/>
    <d v="2002-09-08T00:00:00"/>
    <n v="0.65980000000000005"/>
    <n v="103"/>
    <s v="Delayed"/>
    <x v="8"/>
  </r>
  <r>
    <n v="895"/>
    <n v="2037"/>
    <x v="10"/>
    <x v="1"/>
    <x v="1"/>
    <n v="271"/>
    <n v="704"/>
    <s v="500 Block of HOWARD ST"/>
    <s v="500 Block of JACKSON ST"/>
    <s v="NOT DELIVERED"/>
    <d v="2010-03-15T00:00:00"/>
    <m/>
    <n v="0.38490000000000002"/>
    <s v=""/>
    <s v="Delayed"/>
    <x v="6"/>
  </r>
  <r>
    <n v="866"/>
    <n v="2401"/>
    <x v="1"/>
    <x v="1"/>
    <x v="0"/>
    <n v="691"/>
    <n v="1260"/>
    <s v="0 Block of MYRTLE ST"/>
    <s v="2ND ST / TOWNSEND ST"/>
    <s v="DELIVERED"/>
    <d v="1995-01-22T00:00:00"/>
    <d v="1995-01-01T00:00:00"/>
    <n v="0.5484"/>
    <n v="-21"/>
    <s v="Invalid"/>
    <x v="10"/>
  </r>
  <r>
    <n v="792"/>
    <n v="1303"/>
    <x v="10"/>
    <x v="0"/>
    <x v="0"/>
    <n v="808"/>
    <n v="1257"/>
    <s v="900 Block of THE EMBARCADERO NORTH ST"/>
    <s v="2500 Block of OCTAVIA ST"/>
    <s v="NOT DELIVERED"/>
    <d v="2008-09-24T00:00:00"/>
    <m/>
    <n v="0.64280000000000004"/>
    <s v=""/>
    <s v="Delayed"/>
    <x v="4"/>
  </r>
  <r>
    <n v="191"/>
    <n v="6798"/>
    <x v="2"/>
    <x v="1"/>
    <x v="1"/>
    <n v="997"/>
    <n v="1382"/>
    <s v="600 Block of GOETTINGEN ST"/>
    <s v="100 Block of 6TH ST"/>
    <s v="DELIVERED"/>
    <d v="1989-01-03T00:00:00"/>
    <d v="1989-10-17T00:00:00"/>
    <n v="0.72140000000000004"/>
    <n v="287"/>
    <s v="Delayed"/>
    <x v="10"/>
  </r>
  <r>
    <n v="59"/>
    <n v="9917"/>
    <x v="9"/>
    <x v="1"/>
    <x v="0"/>
    <n v="329"/>
    <n v="977"/>
    <s v="1000 Block of SUTTER ST"/>
    <s v="800 Block of 3RD ST"/>
    <s v="NOT DELIVERED"/>
    <d v="1984-04-02T00:00:00"/>
    <m/>
    <n v="0.3367"/>
    <s v=""/>
    <s v="Delayed"/>
    <x v="0"/>
  </r>
  <r>
    <n v="748"/>
    <n v="2969"/>
    <x v="2"/>
    <x v="0"/>
    <x v="0"/>
    <n v="600"/>
    <n v="1048"/>
    <s v="100 Block of MONTGOMERY ST"/>
    <s v="600 Block of PRENTISS ST"/>
    <s v="NOT DELIVERED"/>
    <d v="1987-05-07T00:00:00"/>
    <m/>
    <n v="0.57250000000000001"/>
    <s v=""/>
    <s v="Delayed"/>
    <x v="8"/>
  </r>
  <r>
    <n v="693"/>
    <n v="8737"/>
    <x v="2"/>
    <x v="1"/>
    <x v="1"/>
    <n v="715"/>
    <n v="1271"/>
    <s v="0 Block of POWELL ST"/>
    <s v="600 Block of VALENCIA ST"/>
    <s v="NOT DELIVERED"/>
    <d v="1984-01-04T00:00:00"/>
    <m/>
    <n v="0.5625"/>
    <s v=""/>
    <s v="Delayed"/>
    <x v="10"/>
  </r>
  <r>
    <n v="955"/>
    <n v="2104"/>
    <x v="2"/>
    <x v="1"/>
    <x v="1"/>
    <n v="957"/>
    <n v="1007"/>
    <s v="BARTLETT ST / 21ST ST"/>
    <s v="FELL ST / POLK ST"/>
    <s v="DELIVERED"/>
    <d v="1992-05-10T00:00:00"/>
    <d v="1992-12-27T00:00:00"/>
    <n v="0.95030000000000003"/>
    <n v="231"/>
    <s v="Delayed"/>
    <x v="8"/>
  </r>
  <r>
    <n v="538"/>
    <n v="1702"/>
    <x v="6"/>
    <x v="1"/>
    <x v="1"/>
    <n v="484"/>
    <n v="863"/>
    <s v="700 Block of MARKET ST"/>
    <s v="700 Block of SWEENY ST"/>
    <s v="NOT DELIVERED"/>
    <d v="2009-08-07T00:00:00"/>
    <m/>
    <n v="0.56079999999999997"/>
    <s v=""/>
    <s v="Delayed"/>
    <x v="2"/>
  </r>
  <r>
    <n v="169"/>
    <n v="8933"/>
    <x v="3"/>
    <x v="1"/>
    <x v="1"/>
    <n v="576"/>
    <n v="1077"/>
    <s v="0 Block of CAMERON WY"/>
    <s v="200 Block of DORE ST"/>
    <s v="DELIVERED"/>
    <d v="2017-03-17T00:00:00"/>
    <d v="2017-08-24T00:00:00"/>
    <n v="0.53480000000000005"/>
    <n v="160"/>
    <s v="Delayed"/>
    <x v="6"/>
  </r>
  <r>
    <n v="924"/>
    <n v="3624"/>
    <x v="9"/>
    <x v="1"/>
    <x v="0"/>
    <n v="606"/>
    <n v="1021"/>
    <s v="FILLMORE ST / OFARRELL ST"/>
    <s v="HAWTHORNE ST / HARRISON ST"/>
    <s v="DELIVERED"/>
    <d v="2015-01-28T00:00:00"/>
    <d v="2015-03-20T00:00:00"/>
    <n v="0.59350000000000003"/>
    <n v="51"/>
    <s v="Delayed"/>
    <x v="10"/>
  </r>
  <r>
    <n v="579"/>
    <n v="4892"/>
    <x v="2"/>
    <x v="0"/>
    <x v="1"/>
    <n v="913"/>
    <n v="1385"/>
    <s v="SUTTER ST / LAGUNA ST"/>
    <s v="SOUTH VAN NESS AV / 22ND ST"/>
    <s v="NOT DELIVERED"/>
    <d v="2016-12-21T00:00:00"/>
    <m/>
    <n v="0.65920000000000001"/>
    <s v=""/>
    <s v="Delayed"/>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6FECFC-CB6D-49E8-9ADE-FCEDFC38A6C5}" name="Revenue by Payment mod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Payment Mode">
  <location ref="B90:C93" firstHeaderRow="1" firstDataRow="1" firstDataCol="1"/>
  <pivotFields count="10">
    <pivotField showAll="0"/>
    <pivotField showAll="0"/>
    <pivotField showAll="0">
      <items count="4">
        <item x="0"/>
        <item x="2"/>
        <item x="1"/>
        <item t="default"/>
      </items>
    </pivotField>
    <pivotField showAll="0"/>
    <pivotField axis="axisRow" showAll="0">
      <items count="3">
        <item x="1"/>
        <item x="0"/>
        <item t="default"/>
      </items>
    </pivotField>
    <pivotField showAll="0"/>
    <pivotField showAll="0"/>
    <pivotField showAll="0">
      <items count="4">
        <item x="0"/>
        <item x="2"/>
        <item x="1"/>
        <item t="default"/>
      </items>
    </pivotField>
    <pivotField dataField="1" showAll="0"/>
    <pivotField showAll="0"/>
  </pivotFields>
  <rowFields count="1">
    <field x="4"/>
  </rowFields>
  <rowItems count="3">
    <i>
      <x/>
    </i>
    <i>
      <x v="1"/>
    </i>
    <i t="grand">
      <x/>
    </i>
  </rowItems>
  <colItems count="1">
    <i/>
  </colItems>
  <dataFields count="1">
    <dataField name="Total_Revenue" fld="8" baseField="4" baseItem="0" numFmtId="165"/>
  </dataFields>
  <formats count="1">
    <format dxfId="9">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4" count="1" selected="0">
            <x v="1"/>
          </reference>
        </references>
      </pivotArea>
    </chartFormat>
    <chartFormat chart="19" format="4">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D48CF5-72EE-4AD8-A9C4-1A9FB57FF5FD}" name="Monthly Revenue Tren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Monthly Trend">
  <location ref="B115:C127" firstHeaderRow="1" firstDataRow="1" firstDataCol="1"/>
  <pivotFields count="10">
    <pivotField showAll="0"/>
    <pivotField showAll="0"/>
    <pivotField showAll="0">
      <items count="4">
        <item x="0"/>
        <item x="2"/>
        <item x="1"/>
        <item t="default"/>
      </items>
    </pivotField>
    <pivotField showAll="0"/>
    <pivotField showAll="0">
      <items count="3">
        <item x="1"/>
        <item x="0"/>
        <item t="default"/>
      </items>
    </pivotField>
    <pivotField showAll="0"/>
    <pivotField showAll="0"/>
    <pivotField showAll="0">
      <items count="4">
        <item x="0"/>
        <item x="2"/>
        <item x="1"/>
        <item t="default"/>
      </items>
    </pivotField>
    <pivotField dataField="1" showAll="0"/>
    <pivotField axis="axisRow" showAll="0" sortType="ascending">
      <items count="12">
        <item x="1"/>
        <item x="6"/>
        <item x="10"/>
        <item x="4"/>
        <item x="9"/>
        <item x="7"/>
        <item x="3"/>
        <item x="2"/>
        <item x="8"/>
        <item x="0"/>
        <item x="5"/>
        <item t="default"/>
      </items>
    </pivotField>
  </pivotFields>
  <rowFields count="1">
    <field x="9"/>
  </rowFields>
  <rowItems count="12">
    <i>
      <x/>
    </i>
    <i>
      <x v="1"/>
    </i>
    <i>
      <x v="2"/>
    </i>
    <i>
      <x v="3"/>
    </i>
    <i>
      <x v="4"/>
    </i>
    <i>
      <x v="5"/>
    </i>
    <i>
      <x v="6"/>
    </i>
    <i>
      <x v="7"/>
    </i>
    <i>
      <x v="8"/>
    </i>
    <i>
      <x v="9"/>
    </i>
    <i>
      <x v="10"/>
    </i>
    <i t="grand">
      <x/>
    </i>
  </rowItems>
  <colItems count="1">
    <i/>
  </colItems>
  <dataFields count="1">
    <dataField name="Sum of Total_Payment" fld="8" baseField="0" baseItem="0" numFmtId="165"/>
  </dataFields>
  <formats count="2">
    <format dxfId="11">
      <pivotArea collapsedLevelsAreSubtotals="1" fieldPosition="0">
        <references count="1">
          <reference field="9" count="0"/>
        </references>
      </pivotArea>
    </format>
    <format dxfId="1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0E3E2C-C3EE-45BB-9690-664AFE0428DE}"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6:C84" firstHeaderRow="1" firstDataRow="1" firstDataCol="1"/>
  <pivotFields count="5">
    <pivotField dataField="1" showAll="0"/>
    <pivotField showAll="0"/>
    <pivotField axis="axisRow" showAll="0" sortType="descending">
      <items count="28">
        <item x="18"/>
        <item x="17"/>
        <item x="4"/>
        <item x="22"/>
        <item x="1"/>
        <item x="19"/>
        <item x="26"/>
        <item x="21"/>
        <item x="25"/>
        <item x="23"/>
        <item x="11"/>
        <item x="6"/>
        <item x="9"/>
        <item x="14"/>
        <item x="13"/>
        <item x="15"/>
        <item x="0"/>
        <item x="24"/>
        <item x="7"/>
        <item x="8"/>
        <item x="20"/>
        <item x="5"/>
        <item x="16"/>
        <item x="12"/>
        <item x="2"/>
        <item x="10"/>
        <item x="3"/>
        <item t="default"/>
      </items>
      <autoSortScope>
        <pivotArea dataOnly="0" outline="0" fieldPosition="0">
          <references count="1">
            <reference field="4294967294" count="1" selected="0">
              <x v="0"/>
            </reference>
          </references>
        </pivotArea>
      </autoSortScope>
    </pivotField>
    <pivotField showAll="0">
      <items count="47">
        <item x="11"/>
        <item x="26"/>
        <item x="34"/>
        <item x="13"/>
        <item x="21"/>
        <item x="2"/>
        <item x="39"/>
        <item x="42"/>
        <item x="31"/>
        <item x="36"/>
        <item x="7"/>
        <item x="23"/>
        <item x="35"/>
        <item x="32"/>
        <item x="38"/>
        <item x="25"/>
        <item x="10"/>
        <item x="27"/>
        <item x="1"/>
        <item x="41"/>
        <item x="30"/>
        <item x="37"/>
        <item x="40"/>
        <item x="5"/>
        <item x="24"/>
        <item x="43"/>
        <item x="16"/>
        <item x="12"/>
        <item x="14"/>
        <item x="18"/>
        <item x="17"/>
        <item x="4"/>
        <item x="15"/>
        <item x="20"/>
        <item x="19"/>
        <item x="8"/>
        <item x="33"/>
        <item x="6"/>
        <item x="22"/>
        <item x="0"/>
        <item x="3"/>
        <item x="9"/>
        <item x="44"/>
        <item x="29"/>
        <item x="45"/>
        <item x="28"/>
        <item t="default"/>
      </items>
    </pivotField>
    <pivotField showAll="0"/>
  </pivotFields>
  <rowFields count="1">
    <field x="2"/>
  </rowFields>
  <rowItems count="28">
    <i>
      <x v="5"/>
    </i>
    <i>
      <x v="16"/>
    </i>
    <i>
      <x v="20"/>
    </i>
    <i>
      <x v="24"/>
    </i>
    <i>
      <x v="21"/>
    </i>
    <i>
      <x v="14"/>
    </i>
    <i>
      <x v="26"/>
    </i>
    <i>
      <x v="4"/>
    </i>
    <i>
      <x v="22"/>
    </i>
    <i>
      <x v="2"/>
    </i>
    <i>
      <x v="25"/>
    </i>
    <i>
      <x v="18"/>
    </i>
    <i>
      <x v="13"/>
    </i>
    <i>
      <x v="7"/>
    </i>
    <i>
      <x/>
    </i>
    <i>
      <x v="15"/>
    </i>
    <i>
      <x v="19"/>
    </i>
    <i>
      <x v="1"/>
    </i>
    <i>
      <x v="10"/>
    </i>
    <i>
      <x v="12"/>
    </i>
    <i>
      <x v="11"/>
    </i>
    <i>
      <x v="9"/>
    </i>
    <i>
      <x v="3"/>
    </i>
    <i>
      <x v="23"/>
    </i>
    <i>
      <x v="17"/>
    </i>
    <i>
      <x v="8"/>
    </i>
    <i>
      <x v="6"/>
    </i>
    <i t="grand">
      <x/>
    </i>
  </rowItems>
  <colItems count="1">
    <i/>
  </colItems>
  <dataFields count="1">
    <dataField name="Count of E_ID"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58671C-B3D9-4140-B354-9395DC97C549}"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Branch Code">
  <location ref="B264:C275" firstHeaderRow="1" firstDataRow="1" firstDataCol="1"/>
  <pivotFields count="5">
    <pivotField dataField="1" showAll="0"/>
    <pivotField showAll="0"/>
    <pivotField showAll="0"/>
    <pivotField axis="axisRow" showAll="0" measureFilter="1" sortType="descending">
      <items count="47">
        <item x="28"/>
        <item x="45"/>
        <item x="29"/>
        <item x="44"/>
        <item x="9"/>
        <item x="3"/>
        <item x="0"/>
        <item x="22"/>
        <item x="6"/>
        <item x="33"/>
        <item x="8"/>
        <item x="19"/>
        <item x="20"/>
        <item x="15"/>
        <item x="4"/>
        <item x="17"/>
        <item x="18"/>
        <item x="14"/>
        <item x="12"/>
        <item x="16"/>
        <item x="43"/>
        <item x="24"/>
        <item x="5"/>
        <item x="40"/>
        <item x="37"/>
        <item x="30"/>
        <item x="41"/>
        <item x="1"/>
        <item x="27"/>
        <item x="10"/>
        <item x="25"/>
        <item x="38"/>
        <item x="32"/>
        <item x="35"/>
        <item x="23"/>
        <item x="7"/>
        <item x="36"/>
        <item x="31"/>
        <item x="42"/>
        <item x="39"/>
        <item x="2"/>
        <item x="21"/>
        <item x="13"/>
        <item x="34"/>
        <item x="26"/>
        <item x="11"/>
        <item t="default"/>
      </items>
      <autoSortScope>
        <pivotArea dataOnly="0" outline="0" fieldPosition="0">
          <references count="1">
            <reference field="4294967294" count="1" selected="0">
              <x v="0"/>
            </reference>
          </references>
        </pivotArea>
      </autoSortScope>
    </pivotField>
    <pivotField showAll="0"/>
  </pivotFields>
  <rowFields count="1">
    <field x="3"/>
  </rowFields>
  <rowItems count="11">
    <i>
      <x v="6"/>
    </i>
    <i>
      <x v="15"/>
    </i>
    <i>
      <x v="32"/>
    </i>
    <i>
      <x v="14"/>
    </i>
    <i>
      <x v="42"/>
    </i>
    <i>
      <x v="27"/>
    </i>
    <i>
      <x v="22"/>
    </i>
    <i>
      <x v="4"/>
    </i>
    <i>
      <x v="40"/>
    </i>
    <i>
      <x v="19"/>
    </i>
    <i t="grand">
      <x/>
    </i>
  </rowItems>
  <colItems count="1">
    <i/>
  </colItems>
  <dataFields count="1">
    <dataField name="No. Of Employees" fld="0" subtotal="count" baseField="3" baseItem="6"/>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32E882-7C22-4A13-8479-393F2CEC3EB3}" name="Top 10 Customers by Revenu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ustomers">
  <location ref="B148:C159" firstHeaderRow="1" firstDataRow="1" firstDataCol="1"/>
  <pivotFields count="10">
    <pivotField showAll="0"/>
    <pivotField axis="axisRow" showAll="0" measureFilter="1" sortType="descending">
      <items count="172">
        <item x="68"/>
        <item x="37"/>
        <item x="140"/>
        <item x="119"/>
        <item x="121"/>
        <item x="124"/>
        <item x="130"/>
        <item x="101"/>
        <item x="86"/>
        <item x="18"/>
        <item x="159"/>
        <item x="67"/>
        <item x="72"/>
        <item x="136"/>
        <item x="155"/>
        <item x="34"/>
        <item x="2"/>
        <item x="104"/>
        <item x="139"/>
        <item x="99"/>
        <item x="158"/>
        <item x="94"/>
        <item x="110"/>
        <item x="74"/>
        <item x="55"/>
        <item x="3"/>
        <item x="7"/>
        <item x="5"/>
        <item x="66"/>
        <item x="71"/>
        <item x="163"/>
        <item x="145"/>
        <item x="70"/>
        <item x="112"/>
        <item x="167"/>
        <item x="46"/>
        <item x="20"/>
        <item x="169"/>
        <item x="131"/>
        <item x="31"/>
        <item x="17"/>
        <item x="77"/>
        <item x="51"/>
        <item x="73"/>
        <item x="8"/>
        <item x="25"/>
        <item x="84"/>
        <item x="89"/>
        <item x="13"/>
        <item x="50"/>
        <item x="24"/>
        <item x="103"/>
        <item x="141"/>
        <item x="133"/>
        <item x="57"/>
        <item x="47"/>
        <item x="21"/>
        <item x="14"/>
        <item x="160"/>
        <item x="62"/>
        <item x="122"/>
        <item x="15"/>
        <item x="36"/>
        <item x="144"/>
        <item x="64"/>
        <item x="147"/>
        <item x="150"/>
        <item x="109"/>
        <item x="79"/>
        <item x="6"/>
        <item x="148"/>
        <item x="132"/>
        <item x="85"/>
        <item x="108"/>
        <item x="41"/>
        <item x="125"/>
        <item x="78"/>
        <item x="42"/>
        <item x="4"/>
        <item x="53"/>
        <item x="154"/>
        <item x="49"/>
        <item x="38"/>
        <item x="45"/>
        <item x="30"/>
        <item x="69"/>
        <item x="22"/>
        <item x="168"/>
        <item x="135"/>
        <item x="87"/>
        <item x="16"/>
        <item x="126"/>
        <item x="40"/>
        <item x="10"/>
        <item x="107"/>
        <item x="93"/>
        <item x="166"/>
        <item x="19"/>
        <item x="123"/>
        <item x="153"/>
        <item x="9"/>
        <item x="12"/>
        <item x="111"/>
        <item x="100"/>
        <item x="95"/>
        <item x="82"/>
        <item x="88"/>
        <item x="32"/>
        <item x="29"/>
        <item x="120"/>
        <item x="161"/>
        <item x="63"/>
        <item x="134"/>
        <item x="118"/>
        <item x="56"/>
        <item x="152"/>
        <item x="116"/>
        <item x="90"/>
        <item x="65"/>
        <item x="105"/>
        <item x="106"/>
        <item x="52"/>
        <item x="28"/>
        <item x="127"/>
        <item x="156"/>
        <item x="27"/>
        <item x="170"/>
        <item x="23"/>
        <item x="91"/>
        <item x="149"/>
        <item x="11"/>
        <item x="0"/>
        <item x="129"/>
        <item x="128"/>
        <item x="157"/>
        <item x="1"/>
        <item x="35"/>
        <item x="83"/>
        <item x="151"/>
        <item x="143"/>
        <item x="44"/>
        <item x="96"/>
        <item x="58"/>
        <item x="61"/>
        <item x="137"/>
        <item x="164"/>
        <item x="98"/>
        <item x="59"/>
        <item x="165"/>
        <item x="92"/>
        <item x="102"/>
        <item x="48"/>
        <item x="43"/>
        <item x="60"/>
        <item x="115"/>
        <item x="76"/>
        <item x="142"/>
        <item x="81"/>
        <item x="114"/>
        <item x="80"/>
        <item x="75"/>
        <item x="97"/>
        <item x="54"/>
        <item x="117"/>
        <item x="138"/>
        <item x="26"/>
        <item x="146"/>
        <item x="39"/>
        <item x="33"/>
        <item x="162"/>
        <item x="113"/>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pivotField showAll="0">
      <items count="3">
        <item x="1"/>
        <item x="0"/>
        <item t="default"/>
      </items>
    </pivotField>
    <pivotField showAll="0"/>
    <pivotField showAll="0"/>
    <pivotField showAll="0">
      <items count="4">
        <item x="0"/>
        <item x="2"/>
        <item x="1"/>
        <item t="default"/>
      </items>
    </pivotField>
    <pivotField dataField="1" showAll="0"/>
    <pivotField showAll="0"/>
  </pivotFields>
  <rowFields count="1">
    <field x="1"/>
  </rowFields>
  <rowItems count="11">
    <i>
      <x v="25"/>
    </i>
    <i>
      <x v="61"/>
    </i>
    <i>
      <x v="151"/>
    </i>
    <i>
      <x v="135"/>
    </i>
    <i>
      <x v="27"/>
    </i>
    <i>
      <x v="32"/>
    </i>
    <i>
      <x v="131"/>
    </i>
    <i>
      <x v="50"/>
    </i>
    <i>
      <x v="42"/>
    </i>
    <i>
      <x v="162"/>
    </i>
    <i t="grand">
      <x/>
    </i>
  </rowItems>
  <colItems count="1">
    <i/>
  </colItems>
  <dataFields count="1">
    <dataField name="Total Revenue" fld="8" baseField="1" baseItem="25"/>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2C1608-259C-4D2C-8B92-0643B065F115}" name="Customer Type Distribu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ustomer Type">
  <location ref="B188:C192" firstHeaderRow="1" firstDataRow="1" firstDataCol="1"/>
  <pivotFields count="10">
    <pivotField dataField="1" showAll="0"/>
    <pivotField showAll="0"/>
    <pivotField axis="axisRow" showAll="0">
      <items count="4">
        <item x="0"/>
        <item x="2"/>
        <item x="1"/>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pivotField showAll="0"/>
  </pivotFields>
  <rowFields count="1">
    <field x="2"/>
  </rowFields>
  <rowItems count="4">
    <i>
      <x/>
    </i>
    <i>
      <x v="1"/>
    </i>
    <i>
      <x v="2"/>
    </i>
    <i t="grand">
      <x/>
    </i>
  </rowItems>
  <colItems count="1">
    <i/>
  </colItems>
  <dataFields count="1">
    <dataField name="Count of C_ID" fld="0" subtotal="count" baseField="2"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2" count="1" selected="0">
            <x v="0"/>
          </reference>
        </references>
      </pivotArea>
    </chartFormat>
    <chartFormat chart="6" format="10">
      <pivotArea type="data" outline="0" fieldPosition="0">
        <references count="2">
          <reference field="4294967294" count="1" selected="0">
            <x v="0"/>
          </reference>
          <reference field="2" count="1" selected="0">
            <x v="1"/>
          </reference>
        </references>
      </pivotArea>
    </chartFormat>
    <chartFormat chart="6" format="1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761A8B-1171-41CF-ABAB-29A6AE633D30}"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Employee Name">
  <location ref="B235:C259" firstHeaderRow="1" firstDataRow="1" firstDataCol="1"/>
  <pivotFields count="5">
    <pivotField showAll="0"/>
    <pivotField axis="axisRow" showAll="0" measureFilter="1" sortType="descending">
      <items count="177">
        <item x="79"/>
        <item x="24"/>
        <item x="7"/>
        <item x="101"/>
        <item x="117"/>
        <item x="95"/>
        <item x="166"/>
        <item x="65"/>
        <item x="36"/>
        <item x="39"/>
        <item x="150"/>
        <item x="44"/>
        <item x="93"/>
        <item x="126"/>
        <item x="100"/>
        <item x="63"/>
        <item x="61"/>
        <item x="140"/>
        <item x="37"/>
        <item x="124"/>
        <item x="75"/>
        <item x="105"/>
        <item x="3"/>
        <item x="162"/>
        <item x="118"/>
        <item x="18"/>
        <item x="102"/>
        <item x="31"/>
        <item x="161"/>
        <item x="57"/>
        <item x="50"/>
        <item x="104"/>
        <item x="142"/>
        <item x="62"/>
        <item x="6"/>
        <item x="147"/>
        <item x="149"/>
        <item x="135"/>
        <item x="116"/>
        <item x="46"/>
        <item x="33"/>
        <item x="90"/>
        <item x="16"/>
        <item x="25"/>
        <item x="170"/>
        <item x="67"/>
        <item x="76"/>
        <item x="38"/>
        <item x="96"/>
        <item x="32"/>
        <item x="143"/>
        <item x="49"/>
        <item x="152"/>
        <item x="154"/>
        <item x="54"/>
        <item x="51"/>
        <item x="82"/>
        <item x="110"/>
        <item x="69"/>
        <item x="29"/>
        <item x="120"/>
        <item x="5"/>
        <item x="15"/>
        <item x="137"/>
        <item x="156"/>
        <item x="59"/>
        <item x="53"/>
        <item x="98"/>
        <item x="2"/>
        <item x="163"/>
        <item x="35"/>
        <item x="0"/>
        <item x="109"/>
        <item x="47"/>
        <item x="173"/>
        <item x="72"/>
        <item x="103"/>
        <item x="52"/>
        <item x="133"/>
        <item x="92"/>
        <item x="169"/>
        <item x="129"/>
        <item x="28"/>
        <item x="165"/>
        <item x="108"/>
        <item x="151"/>
        <item x="148"/>
        <item x="130"/>
        <item x="157"/>
        <item x="78"/>
        <item x="10"/>
        <item x="77"/>
        <item x="48"/>
        <item x="14"/>
        <item x="128"/>
        <item x="13"/>
        <item x="55"/>
        <item x="8"/>
        <item x="119"/>
        <item x="164"/>
        <item x="70"/>
        <item x="86"/>
        <item x="58"/>
        <item x="174"/>
        <item x="106"/>
        <item x="56"/>
        <item x="68"/>
        <item x="87"/>
        <item x="141"/>
        <item x="115"/>
        <item x="145"/>
        <item x="19"/>
        <item x="138"/>
        <item x="4"/>
        <item x="21"/>
        <item x="60"/>
        <item x="85"/>
        <item x="1"/>
        <item x="45"/>
        <item x="144"/>
        <item x="83"/>
        <item x="71"/>
        <item x="158"/>
        <item x="112"/>
        <item x="134"/>
        <item x="84"/>
        <item x="132"/>
        <item x="125"/>
        <item x="74"/>
        <item x="34"/>
        <item x="23"/>
        <item x="167"/>
        <item x="40"/>
        <item x="41"/>
        <item x="113"/>
        <item x="42"/>
        <item x="168"/>
        <item x="80"/>
        <item x="64"/>
        <item x="88"/>
        <item x="127"/>
        <item x="43"/>
        <item x="27"/>
        <item x="9"/>
        <item x="172"/>
        <item x="94"/>
        <item x="12"/>
        <item x="20"/>
        <item x="114"/>
        <item x="111"/>
        <item x="73"/>
        <item x="131"/>
        <item x="81"/>
        <item x="121"/>
        <item x="66"/>
        <item x="153"/>
        <item x="22"/>
        <item x="30"/>
        <item x="123"/>
        <item x="136"/>
        <item x="97"/>
        <item x="107"/>
        <item x="155"/>
        <item x="175"/>
        <item x="159"/>
        <item x="171"/>
        <item x="139"/>
        <item x="17"/>
        <item x="160"/>
        <item x="26"/>
        <item x="99"/>
        <item x="91"/>
        <item x="122"/>
        <item x="146"/>
        <item x="89"/>
        <item x="11"/>
        <item t="default"/>
      </items>
      <autoSortScope>
        <pivotArea dataOnly="0" outline="0" fieldPosition="0">
          <references count="1">
            <reference field="4294967294" count="1" selected="0">
              <x v="0"/>
            </reference>
          </references>
        </pivotArea>
      </autoSortScope>
    </pivotField>
    <pivotField showAll="0"/>
    <pivotField showAll="0">
      <items count="47">
        <item x="11"/>
        <item x="26"/>
        <item x="34"/>
        <item x="13"/>
        <item x="21"/>
        <item x="2"/>
        <item x="39"/>
        <item x="42"/>
        <item x="31"/>
        <item x="36"/>
        <item x="7"/>
        <item x="23"/>
        <item x="35"/>
        <item x="32"/>
        <item x="38"/>
        <item x="25"/>
        <item x="10"/>
        <item x="27"/>
        <item x="1"/>
        <item x="41"/>
        <item x="30"/>
        <item x="37"/>
        <item x="40"/>
        <item x="5"/>
        <item x="24"/>
        <item x="43"/>
        <item x="16"/>
        <item x="12"/>
        <item x="14"/>
        <item x="18"/>
        <item x="17"/>
        <item x="4"/>
        <item x="15"/>
        <item x="20"/>
        <item x="19"/>
        <item x="8"/>
        <item x="33"/>
        <item x="6"/>
        <item x="22"/>
        <item x="0"/>
        <item x="3"/>
        <item x="9"/>
        <item x="44"/>
        <item x="29"/>
        <item x="45"/>
        <item x="28"/>
        <item t="default"/>
      </items>
    </pivotField>
    <pivotField dataField="1" showAll="0"/>
  </pivotFields>
  <rowFields count="1">
    <field x="1"/>
  </rowFields>
  <rowItems count="24">
    <i>
      <x v="25"/>
    </i>
    <i>
      <x v="137"/>
    </i>
    <i>
      <x v="5"/>
    </i>
    <i>
      <x v="151"/>
    </i>
    <i>
      <x v="11"/>
    </i>
    <i>
      <x v="130"/>
    </i>
    <i>
      <x v="18"/>
    </i>
    <i>
      <x v="143"/>
    </i>
    <i>
      <x v="20"/>
    </i>
    <i>
      <x/>
    </i>
    <i>
      <x v="87"/>
    </i>
    <i>
      <x v="92"/>
    </i>
    <i>
      <x v="98"/>
    </i>
    <i>
      <x v="34"/>
    </i>
    <i>
      <x v="134"/>
    </i>
    <i>
      <x v="42"/>
    </i>
    <i>
      <x v="142"/>
    </i>
    <i>
      <x v="43"/>
    </i>
    <i>
      <x v="145"/>
    </i>
    <i>
      <x v="57"/>
    </i>
    <i>
      <x v="157"/>
    </i>
    <i>
      <x v="71"/>
    </i>
    <i>
      <x v="81"/>
    </i>
    <i t="grand">
      <x/>
    </i>
  </rowItems>
  <colItems count="1">
    <i/>
  </colItems>
  <dataFields count="1">
    <dataField name="Total Shipments Handled" fld="4" subtotal="count" baseField="1" baseItem="25"/>
  </dataFields>
  <chartFormats count="2">
    <chartFormat chart="0"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7D5055-1824-41C3-B6BD-CC0D5939632C}"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9:C52" firstHeaderRow="1" firstDataRow="1" firstDataCol="1"/>
  <pivotFields count="14">
    <pivotField dataField="1" showAll="0"/>
    <pivotField showAll="0"/>
    <pivotField showAll="0"/>
    <pivotField axis="axisRow" showAll="0">
      <items count="3">
        <item x="0"/>
        <item x="1"/>
        <item t="default"/>
      </items>
    </pivotField>
    <pivotField showAll="0"/>
    <pivotField showAll="0"/>
    <pivotField showAll="0"/>
    <pivotField showAll="0"/>
    <pivotField showAll="0"/>
    <pivotField showAll="0">
      <items count="3">
        <item x="0"/>
        <item x="1"/>
        <item t="default"/>
      </items>
    </pivotField>
    <pivotField numFmtId="14" showAll="0"/>
    <pivotField showAll="0"/>
    <pivotField showAll="0"/>
    <pivotField showAll="0"/>
  </pivotFields>
  <rowFields count="1">
    <field x="3"/>
  </rowFields>
  <rowItems count="3">
    <i>
      <x/>
    </i>
    <i>
      <x v="1"/>
    </i>
    <i t="grand">
      <x/>
    </i>
  </rowItems>
  <colItems count="1">
    <i/>
  </colItems>
  <dataFields count="1">
    <dataField name="Count of SH_ID"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643F197-04A2-47BF-9D4A-39DB71172247}"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17:C230" firstHeaderRow="1" firstDataRow="1" firstDataCol="1"/>
  <pivotFields count="16">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dataField="1" showAll="0"/>
    <pivotField showAll="0"/>
    <pivotField axis="axisRow" showAll="0">
      <items count="13">
        <item x="10"/>
        <item x="7"/>
        <item x="6"/>
        <item x="0"/>
        <item x="8"/>
        <item x="1"/>
        <item x="5"/>
        <item x="2"/>
        <item x="4"/>
        <item x="9"/>
        <item x="11"/>
        <item x="3"/>
        <item t="default"/>
      </items>
    </pivotField>
  </pivotFields>
  <rowFields count="1">
    <field x="15"/>
  </rowFields>
  <rowItems count="13">
    <i>
      <x/>
    </i>
    <i>
      <x v="1"/>
    </i>
    <i>
      <x v="2"/>
    </i>
    <i>
      <x v="3"/>
    </i>
    <i>
      <x v="4"/>
    </i>
    <i>
      <x v="5"/>
    </i>
    <i>
      <x v="6"/>
    </i>
    <i>
      <x v="7"/>
    </i>
    <i>
      <x v="8"/>
    </i>
    <i>
      <x v="9"/>
    </i>
    <i>
      <x v="10"/>
    </i>
    <i>
      <x v="11"/>
    </i>
    <i t="grand">
      <x/>
    </i>
  </rowItems>
  <colItems count="1">
    <i/>
  </colItems>
  <dataFields count="1">
    <dataField name="Average of Delivery_days" fld="13" subtotal="average" baseField="15" baseItem="0" numFmtId="2"/>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4BF381E-3B33-413F-BB4D-6E9E014FB967}" name="PivotTable1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336:D339" firstHeaderRow="0" firstDataRow="1" firstDataCol="1"/>
  <pivotFields count="16">
    <pivotField showAll="0"/>
    <pivotField showAll="0"/>
    <pivotField showAll="0"/>
    <pivotField axis="axisRow" showAll="0">
      <items count="3">
        <item x="0"/>
        <item x="1"/>
        <item t="default"/>
      </items>
    </pivotField>
    <pivotField showAll="0"/>
    <pivotField dataField="1" showAll="0"/>
    <pivotField dataField="1" showAll="0"/>
    <pivotField showAll="0"/>
    <pivotField showAll="0"/>
    <pivotField showAll="0"/>
    <pivotField numFmtId="14" showAll="0"/>
    <pivotField showAll="0"/>
    <pivotField showAll="0"/>
    <pivotField showAll="0"/>
    <pivotField showAll="0"/>
    <pivotField showAll="0"/>
  </pivotFields>
  <rowFields count="1">
    <field x="3"/>
  </rowFields>
  <rowItems count="3">
    <i>
      <x/>
    </i>
    <i>
      <x v="1"/>
    </i>
    <i t="grand">
      <x/>
    </i>
  </rowItems>
  <colFields count="1">
    <field x="-2"/>
  </colFields>
  <colItems count="2">
    <i>
      <x/>
    </i>
    <i i="1">
      <x v="1"/>
    </i>
  </colItems>
  <dataFields count="2">
    <dataField name="Average of Shipment_Weight" fld="5" subtotal="average" baseField="3" baseItem="0"/>
    <dataField name="Average of Shipment_Charges" fld="6" subtotal="average" baseField="3" baseItem="0"/>
  </dataFields>
  <formats count="1">
    <format dxfId="13">
      <pivotArea collapsedLevelsAreSubtotals="1" fieldPosition="0">
        <references count="1">
          <reference field="3" count="0"/>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pivotArea type="data" outline="0" fieldPosition="0">
        <references count="2">
          <reference field="4294967294" count="1" selected="0">
            <x v="0"/>
          </reference>
          <reference field="3" count="1" selected="0">
            <x v="1"/>
          </reference>
        </references>
      </pivotArea>
    </chartFormat>
    <chartFormat chart="5" format="7">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0A42875-8830-498A-B207-9EA34BD15F2D}" name="Most Used mod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80:C183" firstHeaderRow="1" firstDataRow="1" firstDataCol="1"/>
  <pivotFields count="10">
    <pivotField dataField="1" showAll="0"/>
    <pivotField showAll="0"/>
    <pivotField showAll="0">
      <items count="4">
        <item x="0"/>
        <item x="2"/>
        <item x="1"/>
        <item t="default"/>
      </items>
    </pivotField>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pivotField showAll="0"/>
  </pivotFields>
  <rowFields count="1">
    <field x="4"/>
  </rowFields>
  <rowItems count="3">
    <i>
      <x v="1"/>
    </i>
    <i>
      <x/>
    </i>
    <i t="grand">
      <x/>
    </i>
  </rowItems>
  <colItems count="1">
    <i/>
  </colItems>
  <dataFields count="1">
    <dataField name="Count of C_ID" fld="0"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DA5575B-0332-4089-A2E3-751CB353F3EC}" name="Average Shiping weight"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hipment Content">
  <location ref="B320:C332" firstHeaderRow="1" firstDataRow="1" firstDataCol="1"/>
  <pivotFields count="16">
    <pivotField showAll="0"/>
    <pivotField showAll="0"/>
    <pivotField axis="axisRow" showAll="0" sortType="ascending">
      <items count="12">
        <item x="10"/>
        <item x="8"/>
        <item x="9"/>
        <item x="3"/>
        <item x="5"/>
        <item x="4"/>
        <item x="7"/>
        <item x="0"/>
        <item x="2"/>
        <item x="6"/>
        <item x="1"/>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3">
        <item x="1"/>
        <item x="0"/>
        <item t="default"/>
      </items>
    </pivotField>
    <pivotField dataField="1" showAll="0"/>
    <pivotField showAll="0"/>
    <pivotField showAll="0"/>
    <pivotField showAll="0"/>
    <pivotField showAll="0"/>
    <pivotField numFmtId="14" showAll="0"/>
    <pivotField showAll="0"/>
    <pivotField showAll="0"/>
    <pivotField showAll="0"/>
    <pivotField showAll="0"/>
    <pivotField showAll="0"/>
  </pivotFields>
  <rowFields count="1">
    <field x="2"/>
  </rowFields>
  <rowItems count="12">
    <i>
      <x v="5"/>
    </i>
    <i>
      <x v="1"/>
    </i>
    <i>
      <x v="6"/>
    </i>
    <i>
      <x/>
    </i>
    <i>
      <x v="8"/>
    </i>
    <i>
      <x v="9"/>
    </i>
    <i>
      <x v="3"/>
    </i>
    <i>
      <x v="2"/>
    </i>
    <i>
      <x v="7"/>
    </i>
    <i>
      <x v="10"/>
    </i>
    <i>
      <x v="4"/>
    </i>
    <i t="grand">
      <x/>
    </i>
  </rowItems>
  <colItems count="1">
    <i/>
  </colItems>
  <dataFields count="1">
    <dataField name="Average of Shipment_Weight" fld="5" subtotal="average" baseField="0" baseItem="0" numFmtId="2"/>
  </dataFields>
  <formats count="1">
    <format dxfId="1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9CFECA8-E467-4500-A428-3ADDD73CD48C}" name="Payment Caterory by diatribu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Payment Category">
  <location ref="B102:C106" firstHeaderRow="1" firstDataRow="1" firstDataCol="1"/>
  <pivotFields count="10">
    <pivotField dataField="1" showAll="0"/>
    <pivotField showAll="0"/>
    <pivotField showAll="0">
      <items count="4">
        <item x="0"/>
        <item x="2"/>
        <item x="1"/>
        <item t="default"/>
      </items>
    </pivotField>
    <pivotField showAll="0"/>
    <pivotField showAll="0">
      <items count="3">
        <item x="1"/>
        <item x="0"/>
        <item t="default"/>
      </items>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s>
  <rowFields count="1">
    <field x="7"/>
  </rowFields>
  <rowItems count="4">
    <i>
      <x/>
    </i>
    <i>
      <x v="2"/>
    </i>
    <i>
      <x v="1"/>
    </i>
    <i t="grand">
      <x/>
    </i>
  </rowItems>
  <colItems count="1">
    <i/>
  </colItems>
  <dataFields count="1">
    <dataField name="Count of C_ID" fld="0" subtotal="count" baseField="7" baseItem="0"/>
  </dataFields>
  <chartFormats count="8">
    <chartFormat chart="0"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7" count="1" selected="0">
            <x v="0"/>
          </reference>
        </references>
      </pivotArea>
    </chartFormat>
    <chartFormat chart="11" format="7">
      <pivotArea type="data" outline="0" fieldPosition="0">
        <references count="2">
          <reference field="4294967294" count="1" selected="0">
            <x v="0"/>
          </reference>
          <reference field="7" count="1" selected="0">
            <x v="2"/>
          </reference>
        </references>
      </pivotArea>
    </chartFormat>
    <chartFormat chart="11" format="8">
      <pivotArea type="data" outline="0" fieldPosition="0">
        <references count="2">
          <reference field="4294967294" count="1" selected="0">
            <x v="0"/>
          </reference>
          <reference field="7" count="1" selected="0">
            <x v="1"/>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2"/>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D026236-57D8-42E5-8C3B-070DEC747FB0}"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elivery Status">
  <location ref="B131:C134" firstHeaderRow="1" firstDataRow="1" firstDataCol="1"/>
  <pivotFields count="13">
    <pivotField dataField="1" showAll="0"/>
    <pivotField showAll="0"/>
    <pivotField showAll="0"/>
    <pivotField showAll="0"/>
    <pivotField showAll="0"/>
    <pivotField showAll="0"/>
    <pivotField showAll="0"/>
    <pivotField showAll="0"/>
    <pivotField showAll="0"/>
    <pivotField axis="axisRow" showAll="0">
      <items count="4">
        <item x="0"/>
        <item x="1"/>
        <item h="1" x="2"/>
        <item t="default"/>
      </items>
    </pivotField>
    <pivotField showAll="0"/>
    <pivotField showAll="0"/>
    <pivotField showAll="0"/>
  </pivotFields>
  <rowFields count="1">
    <field x="9"/>
  </rowFields>
  <rowItems count="3">
    <i>
      <x/>
    </i>
    <i>
      <x v="1"/>
    </i>
    <i t="grand">
      <x/>
    </i>
  </rowItems>
  <colItems count="1">
    <i/>
  </colItems>
  <dataFields count="1">
    <dataField name="Count of SH_ID" fld="0" subtotal="count" baseField="9" baseItem="0"/>
  </dataFields>
  <chartFormats count="9">
    <chartFormat chart="0" format="1"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9" count="1" selected="0">
            <x v="0"/>
          </reference>
        </references>
      </pivotArea>
    </chartFormat>
    <chartFormat chart="4" format="7">
      <pivotArea type="data" outline="0" fieldPosition="0">
        <references count="2">
          <reference field="4294967294" count="1" selected="0">
            <x v="0"/>
          </reference>
          <reference field="9" count="1" selected="0">
            <x v="1"/>
          </reference>
        </references>
      </pivotArea>
    </chartFormat>
    <chartFormat chart="0" format="4">
      <pivotArea type="data" outline="0" fieldPosition="0">
        <references count="2">
          <reference field="4294967294" count="1" selected="0">
            <x v="0"/>
          </reference>
          <reference field="9" count="1" selected="0">
            <x v="0"/>
          </reference>
        </references>
      </pivotArea>
    </chartFormat>
    <chartFormat chart="0" format="5">
      <pivotArea type="data" outline="0" fieldPosition="0">
        <references count="2">
          <reference field="4294967294" count="1" selected="0">
            <x v="0"/>
          </reference>
          <reference field="9" count="1" selected="0">
            <x v="1"/>
          </reference>
        </references>
      </pivotArea>
    </chartFormat>
    <chartFormat chart="8" format="23" series="1">
      <pivotArea type="data" outline="0" fieldPosition="0">
        <references count="1">
          <reference field="4294967294" count="1" selected="0">
            <x v="0"/>
          </reference>
        </references>
      </pivotArea>
    </chartFormat>
    <chartFormat chart="8" format="24">
      <pivotArea type="data" outline="0" fieldPosition="0">
        <references count="2">
          <reference field="4294967294" count="1" selected="0">
            <x v="0"/>
          </reference>
          <reference field="9" count="1" selected="0">
            <x v="0"/>
          </reference>
        </references>
      </pivotArea>
    </chartFormat>
    <chartFormat chart="8" format="25">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2728A1-CC56-4C4C-B158-624669F187F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Delivary Status">
  <location ref="B202:C207" firstHeaderRow="1" firstDataRow="1" firstDataCol="1"/>
  <pivotFields count="15">
    <pivotField dataField="1"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axis="axisRow" showAll="0">
      <items count="5">
        <item x="0"/>
        <item x="3"/>
        <item x="2"/>
        <item x="1"/>
        <item t="default"/>
      </items>
    </pivotField>
  </pivotFields>
  <rowFields count="1">
    <field x="14"/>
  </rowFields>
  <rowItems count="5">
    <i>
      <x/>
    </i>
    <i>
      <x v="1"/>
    </i>
    <i>
      <x v="2"/>
    </i>
    <i>
      <x v="3"/>
    </i>
    <i t="grand">
      <x/>
    </i>
  </rowItems>
  <colItems count="1">
    <i/>
  </colItems>
  <dataFields count="1">
    <dataField name="Count of SH_ID" fld="0" subtotal="count" baseField="14"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45622A0-5FF4-45D4-8AA0-02121509CCD5}"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Employee Designation">
  <location ref="B286:C314" firstHeaderRow="1" firstDataRow="1" firstDataCol="1"/>
  <pivotFields count="5">
    <pivotField dataField="1" showAll="0"/>
    <pivotField showAll="0"/>
    <pivotField axis="axisRow" showAll="0" sortType="descending">
      <items count="28">
        <item x="18"/>
        <item x="17"/>
        <item x="4"/>
        <item x="22"/>
        <item x="1"/>
        <item x="19"/>
        <item x="26"/>
        <item x="21"/>
        <item x="25"/>
        <item x="23"/>
        <item x="11"/>
        <item x="6"/>
        <item x="9"/>
        <item x="14"/>
        <item x="13"/>
        <item x="15"/>
        <item x="0"/>
        <item x="24"/>
        <item x="7"/>
        <item x="8"/>
        <item x="20"/>
        <item x="5"/>
        <item x="16"/>
        <item x="12"/>
        <item x="2"/>
        <item x="10"/>
        <item x="3"/>
        <item t="default"/>
      </items>
      <autoSortScope>
        <pivotArea dataOnly="0" outline="0" fieldPosition="0">
          <references count="1">
            <reference field="4294967294" count="1" selected="0">
              <x v="0"/>
            </reference>
          </references>
        </pivotArea>
      </autoSortScope>
    </pivotField>
    <pivotField showAll="0">
      <items count="47">
        <item x="11"/>
        <item x="26"/>
        <item x="34"/>
        <item x="13"/>
        <item x="21"/>
        <item x="2"/>
        <item x="39"/>
        <item x="42"/>
        <item x="31"/>
        <item x="36"/>
        <item x="7"/>
        <item x="23"/>
        <item x="35"/>
        <item x="32"/>
        <item x="38"/>
        <item x="25"/>
        <item x="10"/>
        <item x="27"/>
        <item x="1"/>
        <item x="41"/>
        <item x="30"/>
        <item x="37"/>
        <item x="40"/>
        <item x="5"/>
        <item x="24"/>
        <item x="43"/>
        <item x="16"/>
        <item x="12"/>
        <item x="14"/>
        <item x="18"/>
        <item x="17"/>
        <item x="4"/>
        <item x="15"/>
        <item x="20"/>
        <item x="19"/>
        <item x="8"/>
        <item x="33"/>
        <item x="6"/>
        <item x="22"/>
        <item x="0"/>
        <item x="3"/>
        <item x="9"/>
        <item x="44"/>
        <item x="29"/>
        <item x="45"/>
        <item x="28"/>
        <item t="default"/>
      </items>
    </pivotField>
    <pivotField showAll="0"/>
  </pivotFields>
  <rowFields count="1">
    <field x="2"/>
  </rowFields>
  <rowItems count="28">
    <i>
      <x v="5"/>
    </i>
    <i>
      <x v="16"/>
    </i>
    <i>
      <x v="20"/>
    </i>
    <i>
      <x v="24"/>
    </i>
    <i>
      <x v="21"/>
    </i>
    <i>
      <x v="14"/>
    </i>
    <i>
      <x v="26"/>
    </i>
    <i>
      <x v="4"/>
    </i>
    <i>
      <x v="22"/>
    </i>
    <i>
      <x v="2"/>
    </i>
    <i>
      <x v="25"/>
    </i>
    <i>
      <x v="18"/>
    </i>
    <i>
      <x v="13"/>
    </i>
    <i>
      <x v="7"/>
    </i>
    <i>
      <x/>
    </i>
    <i>
      <x v="15"/>
    </i>
    <i>
      <x v="19"/>
    </i>
    <i>
      <x v="1"/>
    </i>
    <i>
      <x v="10"/>
    </i>
    <i>
      <x v="12"/>
    </i>
    <i>
      <x v="11"/>
    </i>
    <i>
      <x v="9"/>
    </i>
    <i>
      <x v="3"/>
    </i>
    <i>
      <x v="23"/>
    </i>
    <i>
      <x v="17"/>
    </i>
    <i>
      <x v="8"/>
    </i>
    <i>
      <x v="6"/>
    </i>
    <i t="grand">
      <x/>
    </i>
  </rowItems>
  <colItems count="1">
    <i/>
  </colItems>
  <dataFields count="1">
    <dataField name="No. Of Employees" fld="0" subtotal="count" baseField="2" baseItem="5"/>
  </dataFields>
  <chartFormats count="2">
    <chartFormat chart="0"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20CC0BF-2F1E-4662-9EF5-A2DC931055D2}" name="Shipment Domain Distribution"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hipment Domain">
  <location ref="B163:C166" firstHeaderRow="1" firstDataRow="1" firstDataCol="1"/>
  <pivotFields count="13">
    <pivotField dataField="1" showAll="0"/>
    <pivotField showAll="0"/>
    <pivotField showAll="0"/>
    <pivotField axis="axisRow" showAll="0">
      <items count="4">
        <item x="0"/>
        <item x="1"/>
        <item h="1" x="2"/>
        <item t="default"/>
      </items>
    </pivotField>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SH_ID" fld="0" subtotal="count" baseField="3"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9E2FF99-047B-497E-8B26-27114EF85E47}" name="Revenue by Customer Typ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ustomer_Type">
  <location ref="B34:C38" firstHeaderRow="1" firstDataRow="1" firstDataCol="1"/>
  <pivotFields count="10">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pivotField showAll="0"/>
    <pivotField showAll="0">
      <items count="4">
        <item x="0"/>
        <item x="2"/>
        <item x="1"/>
        <item t="default"/>
      </items>
    </pivotField>
    <pivotField dataField="1" showAll="0"/>
    <pivotField showAll="0"/>
  </pivotFields>
  <rowFields count="1">
    <field x="2"/>
  </rowFields>
  <rowItems count="4">
    <i>
      <x v="1"/>
    </i>
    <i>
      <x/>
    </i>
    <i>
      <x v="2"/>
    </i>
    <i t="grand">
      <x/>
    </i>
  </rowItems>
  <colItems count="1">
    <i/>
  </colItems>
  <dataFields count="1">
    <dataField name="Total_revenue" fld="8" baseField="2" baseItem="0" numFmtId="165"/>
  </dataFields>
  <formats count="1">
    <format dxfId="15">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16A5D57-8D16-418C-9D57-0C25BF428D00}"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mployee Name">
  <location ref="U11:V35" firstHeaderRow="1" firstDataRow="1" firstDataCol="1"/>
  <pivotFields count="5">
    <pivotField showAll="0"/>
    <pivotField axis="axisRow" showAll="0" measureFilter="1" sortType="descending">
      <items count="177">
        <item x="79"/>
        <item x="24"/>
        <item x="7"/>
        <item x="101"/>
        <item x="117"/>
        <item x="95"/>
        <item x="166"/>
        <item x="65"/>
        <item x="36"/>
        <item x="39"/>
        <item x="150"/>
        <item x="44"/>
        <item x="93"/>
        <item x="126"/>
        <item x="100"/>
        <item x="63"/>
        <item x="61"/>
        <item x="140"/>
        <item x="37"/>
        <item x="124"/>
        <item x="75"/>
        <item x="105"/>
        <item x="3"/>
        <item x="162"/>
        <item x="118"/>
        <item x="18"/>
        <item x="102"/>
        <item x="31"/>
        <item x="161"/>
        <item x="57"/>
        <item x="50"/>
        <item x="104"/>
        <item x="142"/>
        <item x="62"/>
        <item x="6"/>
        <item x="147"/>
        <item x="149"/>
        <item x="135"/>
        <item x="116"/>
        <item x="46"/>
        <item x="33"/>
        <item x="90"/>
        <item x="16"/>
        <item x="25"/>
        <item x="170"/>
        <item x="67"/>
        <item x="76"/>
        <item x="38"/>
        <item x="96"/>
        <item x="32"/>
        <item x="143"/>
        <item x="49"/>
        <item x="152"/>
        <item x="154"/>
        <item x="54"/>
        <item x="51"/>
        <item x="82"/>
        <item x="110"/>
        <item x="69"/>
        <item x="29"/>
        <item x="120"/>
        <item x="5"/>
        <item x="15"/>
        <item x="137"/>
        <item x="156"/>
        <item x="59"/>
        <item x="53"/>
        <item x="98"/>
        <item x="2"/>
        <item x="163"/>
        <item x="35"/>
        <item x="0"/>
        <item x="109"/>
        <item x="47"/>
        <item x="173"/>
        <item x="72"/>
        <item x="103"/>
        <item x="52"/>
        <item x="133"/>
        <item x="92"/>
        <item x="169"/>
        <item x="129"/>
        <item x="28"/>
        <item x="165"/>
        <item x="108"/>
        <item x="151"/>
        <item x="148"/>
        <item x="130"/>
        <item x="157"/>
        <item x="78"/>
        <item x="10"/>
        <item x="77"/>
        <item x="48"/>
        <item x="14"/>
        <item x="128"/>
        <item x="13"/>
        <item x="55"/>
        <item x="8"/>
        <item x="119"/>
        <item x="164"/>
        <item x="70"/>
        <item x="86"/>
        <item x="58"/>
        <item x="174"/>
        <item x="106"/>
        <item x="56"/>
        <item x="68"/>
        <item x="87"/>
        <item x="141"/>
        <item x="115"/>
        <item x="145"/>
        <item x="19"/>
        <item x="138"/>
        <item x="4"/>
        <item x="21"/>
        <item x="60"/>
        <item x="85"/>
        <item x="1"/>
        <item x="45"/>
        <item x="144"/>
        <item x="83"/>
        <item x="71"/>
        <item x="158"/>
        <item x="112"/>
        <item x="134"/>
        <item x="84"/>
        <item x="132"/>
        <item x="125"/>
        <item x="74"/>
        <item x="34"/>
        <item x="23"/>
        <item x="167"/>
        <item x="40"/>
        <item x="41"/>
        <item x="113"/>
        <item x="42"/>
        <item x="168"/>
        <item x="80"/>
        <item x="64"/>
        <item x="88"/>
        <item x="127"/>
        <item x="43"/>
        <item x="27"/>
        <item x="9"/>
        <item x="172"/>
        <item x="94"/>
        <item x="12"/>
        <item x="20"/>
        <item x="114"/>
        <item x="111"/>
        <item x="73"/>
        <item x="131"/>
        <item x="81"/>
        <item x="121"/>
        <item x="66"/>
        <item x="153"/>
        <item x="22"/>
        <item x="30"/>
        <item x="123"/>
        <item x="136"/>
        <item x="97"/>
        <item x="107"/>
        <item x="155"/>
        <item x="175"/>
        <item x="159"/>
        <item x="171"/>
        <item x="139"/>
        <item x="17"/>
        <item x="160"/>
        <item x="26"/>
        <item x="99"/>
        <item x="91"/>
        <item x="122"/>
        <item x="146"/>
        <item x="89"/>
        <item x="11"/>
        <item t="default"/>
      </items>
      <autoSortScope>
        <pivotArea dataOnly="0" outline="0" fieldPosition="0">
          <references count="1">
            <reference field="4294967294" count="1" selected="0">
              <x v="0"/>
            </reference>
          </references>
        </pivotArea>
      </autoSortScope>
    </pivotField>
    <pivotField showAll="0"/>
    <pivotField showAll="0">
      <items count="47">
        <item x="11"/>
        <item x="26"/>
        <item x="34"/>
        <item x="13"/>
        <item x="21"/>
        <item x="2"/>
        <item x="39"/>
        <item x="42"/>
        <item x="31"/>
        <item x="36"/>
        <item x="7"/>
        <item x="23"/>
        <item x="35"/>
        <item x="32"/>
        <item x="38"/>
        <item x="25"/>
        <item x="10"/>
        <item x="27"/>
        <item x="1"/>
        <item x="41"/>
        <item x="30"/>
        <item x="37"/>
        <item x="40"/>
        <item x="5"/>
        <item x="24"/>
        <item x="43"/>
        <item x="16"/>
        <item x="12"/>
        <item x="14"/>
        <item x="18"/>
        <item x="17"/>
        <item x="4"/>
        <item x="15"/>
        <item x="20"/>
        <item x="19"/>
        <item x="8"/>
        <item x="33"/>
        <item x="6"/>
        <item x="22"/>
        <item x="0"/>
        <item x="3"/>
        <item x="9"/>
        <item x="44"/>
        <item x="29"/>
        <item x="45"/>
        <item x="28"/>
        <item t="default"/>
      </items>
    </pivotField>
    <pivotField dataField="1" showAll="0"/>
  </pivotFields>
  <rowFields count="1">
    <field x="1"/>
  </rowFields>
  <rowItems count="24">
    <i>
      <x v="25"/>
    </i>
    <i>
      <x v="137"/>
    </i>
    <i>
      <x v="5"/>
    </i>
    <i>
      <x v="151"/>
    </i>
    <i>
      <x v="11"/>
    </i>
    <i>
      <x v="130"/>
    </i>
    <i>
      <x v="18"/>
    </i>
    <i>
      <x v="143"/>
    </i>
    <i>
      <x v="20"/>
    </i>
    <i>
      <x/>
    </i>
    <i>
      <x v="87"/>
    </i>
    <i>
      <x v="92"/>
    </i>
    <i>
      <x v="98"/>
    </i>
    <i>
      <x v="34"/>
    </i>
    <i>
      <x v="134"/>
    </i>
    <i>
      <x v="42"/>
    </i>
    <i>
      <x v="142"/>
    </i>
    <i>
      <x v="43"/>
    </i>
    <i>
      <x v="145"/>
    </i>
    <i>
      <x v="57"/>
    </i>
    <i>
      <x v="157"/>
    </i>
    <i>
      <x v="71"/>
    </i>
    <i>
      <x v="81"/>
    </i>
    <i t="grand">
      <x/>
    </i>
  </rowItems>
  <colItems count="1">
    <i/>
  </colItems>
  <dataFields count="1">
    <dataField name="Total Shipments Handled" fld="4" subtotal="count" baseField="1" baseItem="25"/>
  </dataField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D1007EE-56FE-47DC-AAC2-8116CBCF0CBA}" autoFormatId="16" applyNumberFormats="0" applyBorderFormats="0" applyFontFormats="0" applyPatternFormats="0" applyAlignmentFormats="0" applyWidthHeightFormats="0">
  <queryTableRefresh nextId="11" unboundColumnsRight="1">
    <queryTableFields count="10">
      <queryTableField id="1" name="C_ID" tableColumnId="1"/>
      <queryTableField id="2" name="Customer_Name" tableColumnId="2"/>
      <queryTableField id="3" name="Customer_Type" tableColumnId="3"/>
      <queryTableField id="4" name="Customer_Age" tableColumnId="4"/>
      <queryTableField id="5" name="Payment_Mode" tableColumnId="5"/>
      <queryTableField id="6" name="Payment_Status" tableColumnId="6"/>
      <queryTableField id="7" name="Payment_Date" tableColumnId="7"/>
      <queryTableField id="8" name="PaymentCategory" tableColumnId="8"/>
      <queryTableField id="9" name="Total_Payment" tableColumnId="9"/>
      <queryTableField id="10" dataBound="0"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F336C8E8-8847-4295-9AAC-A29BC3B6DFCD}" autoFormatId="16" applyNumberFormats="0" applyBorderFormats="0" applyFontFormats="0" applyPatternFormats="0" applyAlignmentFormats="0" applyWidthHeightFormats="0">
  <queryTableRefresh nextId="6">
    <queryTableFields count="5">
      <queryTableField id="1" name="E_ID" tableColumnId="1"/>
      <queryTableField id="2" name="Employee_NAME" tableColumnId="2"/>
      <queryTableField id="3" name="Employee_Designation" tableColumnId="3"/>
      <queryTableField id="4" name="E_BRANCH" tableColumnId="4"/>
      <queryTableField id="5" name="Shipment_ID"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FD13F6CC-6D1F-4C36-BDC7-03A050BD3B08}" autoFormatId="16" applyNumberFormats="0" applyBorderFormats="0" applyFontFormats="0" applyPatternFormats="0" applyAlignmentFormats="0" applyWidthHeightFormats="0">
  <queryTableRefresh nextId="14">
    <queryTableFields count="13">
      <queryTableField id="1" name="SH_ID" tableColumnId="1"/>
      <queryTableField id="2" name="C_ID" tableColumnId="2"/>
      <queryTableField id="3" name="Shipment_Content" tableColumnId="3"/>
      <queryTableField id="4" name="Shipment_Domain" tableColumnId="4"/>
      <queryTableField id="5" name="Service_Type" tableColumnId="5"/>
      <queryTableField id="6" name="Shipment_Weight" tableColumnId="6"/>
      <queryTableField id="7" name="Shipment_Charges" tableColumnId="7"/>
      <queryTableField id="8" name="SR_ADDR" tableColumnId="8"/>
      <queryTableField id="9" name="DS_ADDR" tableColumnId="9"/>
      <queryTableField id="10" name="Current_Status" tableColumnId="10"/>
      <queryTableField id="11" name="Sent_date" tableColumnId="11"/>
      <queryTableField id="12" name="Delivery_date" tableColumnId="12"/>
      <queryTableField id="13" name="ShipmentEfficiency"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73AA3316-233B-4951-A6F2-4FCB78E002C4}" sourceName="Payment_Mode">
  <pivotTables>
    <pivotTable tabId="5" name="Revenue by Customer Type"/>
    <pivotTable tabId="5" name="Payment Caterory by diatribution"/>
    <pivotTable tabId="5" name="Revenue by Payment mode"/>
    <pivotTable tabId="5" name="Customer Type Distribution"/>
    <pivotTable tabId="5" name="Monthly Revenue Trend"/>
    <pivotTable tabId="5" name="Most Used mode"/>
    <pivotTable tabId="5" name="Top 10 Customers by Revenue"/>
  </pivotTables>
  <data>
    <tabular pivotCacheId="183465385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Category" xr10:uid="{12124AAF-08E8-4F5B-86FB-C01E89375FB9}" sourceName="PaymentCategory">
  <pivotTables>
    <pivotTable tabId="5" name="Revenue by Customer Type"/>
    <pivotTable tabId="5" name="Payment Caterory by diatribution"/>
    <pivotTable tabId="5" name="Revenue by Payment mode"/>
    <pivotTable tabId="5" name="Customer Type Distribution"/>
    <pivotTable tabId="5" name="Monthly Revenue Trend"/>
    <pivotTable tabId="5" name="Most Used mode"/>
    <pivotTable tabId="5" name="Top 10 Customers by Revenue"/>
  </pivotTables>
  <data>
    <tabular pivotCacheId="183465385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2141039C-579A-447B-9E2C-5CE61800592A}" sourceName="Customer_Type">
  <pivotTables>
    <pivotTable tabId="5" name="Revenue by Customer Type"/>
    <pivotTable tabId="5" name="Payment Caterory by diatribution"/>
    <pivotTable tabId="5" name="Revenue by Payment mode"/>
    <pivotTable tabId="5" name="Customer Type Distribution"/>
    <pivotTable tabId="5" name="Monthly Revenue Trend"/>
    <pivotTable tabId="5" name="Most Used mode"/>
    <pivotTable tabId="5" name="Top 10 Customers by Revenue"/>
  </pivotTables>
  <data>
    <tabular pivotCacheId="1834653854">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ment_Domain" xr10:uid="{C21223E9-D194-4970-A829-AC0F1DABDA7F}" sourceName="Shipment_Domain">
  <pivotTables>
    <pivotTable tabId="5" name="PivotTable1"/>
  </pivotTables>
  <data>
    <tabular pivotCacheId="770688152">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t_Status" xr10:uid="{A97437AC-55A9-421F-A07E-C3016B167291}" sourceName="Current_Status">
  <pivotTables>
    <pivotTable tabId="5" name="PivotTable1"/>
  </pivotTables>
  <data>
    <tabular pivotCacheId="770688152">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_BRANCH" xr10:uid="{603FA823-50D3-4276-AE79-337B69037601}" sourceName="E_BRANCH">
  <pivotTables>
    <pivotTable tabId="5" name="PivotTable2"/>
    <pivotTable tabId="9" name="PivotTable11"/>
    <pivotTable tabId="5" name="PivotTable12"/>
    <pivotTable tabId="5" name="PivotTable13"/>
    <pivotTable tabId="5" name="PivotTable9"/>
  </pivotTables>
  <data>
    <tabular pivotCacheId="776716901">
      <items count="46">
        <i x="11" s="1"/>
        <i x="26" s="1"/>
        <i x="34" s="1"/>
        <i x="13" s="1"/>
        <i x="21" s="1"/>
        <i x="2" s="1"/>
        <i x="39" s="1"/>
        <i x="42" s="1"/>
        <i x="31" s="1"/>
        <i x="36" s="1"/>
        <i x="7" s="1"/>
        <i x="23" s="1"/>
        <i x="35" s="1"/>
        <i x="32" s="1"/>
        <i x="38" s="1"/>
        <i x="25" s="1"/>
        <i x="10" s="1"/>
        <i x="27" s="1"/>
        <i x="1" s="1"/>
        <i x="41" s="1"/>
        <i x="30" s="1"/>
        <i x="37" s="1"/>
        <i x="40" s="1"/>
        <i x="5" s="1"/>
        <i x="24" s="1"/>
        <i x="43" s="1"/>
        <i x="16" s="1"/>
        <i x="12" s="1"/>
        <i x="14" s="1"/>
        <i x="18" s="1"/>
        <i x="17" s="1"/>
        <i x="4" s="1"/>
        <i x="15" s="1"/>
        <i x="20" s="1"/>
        <i x="19" s="1"/>
        <i x="8" s="1"/>
        <i x="33" s="1"/>
        <i x="6" s="1"/>
        <i x="22" s="1"/>
        <i x="0" s="1"/>
        <i x="3" s="1"/>
        <i x="9" s="1"/>
        <i x="44" s="1"/>
        <i x="29" s="1"/>
        <i x="45" s="1"/>
        <i x="2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ode" xr10:uid="{3F758096-716D-4B14-A63A-3B0FB7AC9A39}" cache="Slicer_Payment_Mode" caption="Payment_Mode" rowHeight="234950"/>
  <slicer name="PaymentCategory" xr10:uid="{7A8A86A2-8050-4BED-90E1-2F88F0B57D3B}" cache="Slicer_PaymentCategory" caption="PaymentCategory" rowHeight="234950"/>
  <slicer name="Customer_Type" xr10:uid="{720AF02B-488E-4129-A7C2-790C0934ECCA}" cache="Slicer_Customer_Type" caption="Customer_Type" rowHeight="234950"/>
  <slicer name="Shipment_Domain" xr10:uid="{1E4014FB-C389-4394-8ED5-3506B7AA4250}" cache="Slicer_Shipment_Domain" caption="Shipment_Domain" rowHeight="234950"/>
  <slicer name="Current_Status" xr10:uid="{3071BBF1-E5EF-4C0B-B39F-406F747CCCCF}" cache="Slicer_Current_Status" caption="Current_Status" rowHeight="234950"/>
  <slicer name="E_BRANCH" xr10:uid="{5542A525-450A-4F99-9D63-D04F53DE1327}" cache="Slicer_E_BRANCH" caption="E_BRANC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ode 1" xr10:uid="{8698FCD6-5990-4889-A25B-489DCF0C9CD5}" cache="Slicer_Payment_Mode" caption="Payment_Mode" rowHeight="234950"/>
  <slicer name="PaymentCategory 1" xr10:uid="{23223F59-7DD1-4D57-970A-4A195E5F42DA}" cache="Slicer_PaymentCategory" caption="PaymentCategory" rowHeight="234950"/>
  <slicer name="Customer_Type 1" xr10:uid="{2164178D-C3A5-41DD-AE55-08217BF05DBF}" cache="Slicer_Customer_Type" caption="Customer_Type" rowHeight="234950"/>
  <slicer name="Shipment_Domain 1" xr10:uid="{FFA82C9E-BDE5-4106-8363-6348C2706848}" cache="Slicer_Shipment_Domain" caption="Shipment_Domain" rowHeight="234950"/>
  <slicer name="Current_Status 1" xr10:uid="{19ED7BB1-D8A2-4F3D-9969-B7091CF177F2}" cache="Slicer_Current_Status" caption="Current_Status" rowHeight="234950"/>
  <slicer name="E_BRANCH 1" xr10:uid="{CE576A9C-4356-4D2A-94B7-B8DC0DF56E1B}" cache="Slicer_E_BRANCH" caption="E_BRANCH"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C841EF-0E4E-4ED4-8EFD-50DE765B6FCB}" name="Customer_payments" displayName="Customer_payments" ref="A1:J201" tableType="queryTable" totalsRowShown="0">
  <autoFilter ref="A1:J201" xr:uid="{D3C841EF-0E4E-4ED4-8EFD-50DE765B6FCB}"/>
  <sortState xmlns:xlrd2="http://schemas.microsoft.com/office/spreadsheetml/2017/richdata2" ref="A2:J201">
    <sortCondition descending="1" ref="I1:I201"/>
  </sortState>
  <tableColumns count="10">
    <tableColumn id="1" xr3:uid="{2811B802-FFEF-45D7-AD08-39EEEF4BA525}" uniqueName="1" name="C_ID" queryTableFieldId="1"/>
    <tableColumn id="2" xr3:uid="{D2681867-A789-441E-A221-9A3B781ADE21}" uniqueName="2" name="Customer_Name" queryTableFieldId="2" dataDxfId="35"/>
    <tableColumn id="3" xr3:uid="{F2727B5B-65C3-4A44-BC5C-AFF84C1337D0}" uniqueName="3" name="Customer_Type" queryTableFieldId="3" dataDxfId="34"/>
    <tableColumn id="4" xr3:uid="{811B2381-9D33-4CF8-BD00-9D63AEEAE661}" uniqueName="4" name="Customer_Age" queryTableFieldId="4"/>
    <tableColumn id="5" xr3:uid="{72319EDF-FA7E-4F22-9A17-47D167409B1C}" uniqueName="5" name="Payment_Mode" queryTableFieldId="5" dataDxfId="33"/>
    <tableColumn id="6" xr3:uid="{B7263C60-2D56-4F20-B570-04C0F9473F17}" uniqueName="6" name="Payment_Status" queryTableFieldId="6" dataDxfId="32"/>
    <tableColumn id="7" xr3:uid="{C94EC33F-E620-4910-88EA-BE0A5EEA91B1}" uniqueName="7" name="Payment_Date" queryTableFieldId="7" dataDxfId="31"/>
    <tableColumn id="8" xr3:uid="{87F863E0-75C9-4DC2-B5D5-783D4CA0102F}" uniqueName="8" name="PaymentCategory" queryTableFieldId="8" dataDxfId="30"/>
    <tableColumn id="9" xr3:uid="{06FFCF29-88C0-4D44-AF1D-FF14374C55E7}" uniqueName="9" name="Total_Payment" queryTableFieldId="9" dataDxfId="29"/>
    <tableColumn id="10" xr3:uid="{2421A0EA-41B6-4B86-BC8B-57CA5854E75C}" uniqueName="10" name="Monthly Trend" queryTableFieldId="10" dataDxfId="28">
      <calculatedColumnFormula>MONTH(Customer_payments[[#This Row],[Payment_Date]])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49B05E-61FD-4086-B1C7-9D4660535C3B}" name="Employee_details" displayName="Employee_details" ref="A1:E201" tableType="queryTable" totalsRowShown="0">
  <autoFilter ref="A1:E201" xr:uid="{C049B05E-61FD-4086-B1C7-9D4660535C3B}"/>
  <tableColumns count="5">
    <tableColumn id="1" xr3:uid="{3E55F74E-1D03-4954-8BA9-4E9FEC9B8BAF}" uniqueName="1" name="E_ID" queryTableFieldId="1"/>
    <tableColumn id="2" xr3:uid="{D826391D-9BE8-4F1B-B07C-6CDE1FC0CE2B}" uniqueName="2" name="Employee_NAME" queryTableFieldId="2" dataDxfId="27"/>
    <tableColumn id="3" xr3:uid="{E84321C8-63C2-4F41-98E3-F14C86112F47}" uniqueName="3" name="Employee_Designation" queryTableFieldId="3" dataDxfId="26"/>
    <tableColumn id="4" xr3:uid="{98D7F4AF-ADB2-4793-B4CF-DEAF87136B97}" uniqueName="4" name="E_BRANCH" queryTableFieldId="4" dataDxfId="25"/>
    <tableColumn id="5" xr3:uid="{E1BD17CD-1A5D-46EA-B7F3-EEA2B3FAC409}" uniqueName="5" name="Shipment_ID" queryTableFieldId="5"/>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7DDA10-4CA3-45B8-BB92-31A5A1E723F1}" name="Shipment_Status" displayName="Shipment_Status" ref="A1:M201" tableType="queryTable" totalsRowShown="0" headerRowDxfId="24">
  <autoFilter ref="A1:M201" xr:uid="{D87DDA10-4CA3-45B8-BB92-31A5A1E723F1}"/>
  <tableColumns count="13">
    <tableColumn id="1" xr3:uid="{8EFA858C-A9C7-4877-9255-2B9DA34F76DC}" uniqueName="1" name="SH_ID" queryTableFieldId="1"/>
    <tableColumn id="2" xr3:uid="{02FE34B4-4407-4844-87BE-8C05B2B0B8BC}" uniqueName="2" name="C_ID" queryTableFieldId="2"/>
    <tableColumn id="3" xr3:uid="{A0BBC0DA-D174-4A39-96C5-46CE745BB4D0}" uniqueName="3" name="Shipment_Content" queryTableFieldId="3" dataDxfId="23"/>
    <tableColumn id="4" xr3:uid="{42EAD562-44F8-42B5-B168-931515A61482}" uniqueName="4" name="Shipment_Domain" queryTableFieldId="4" dataDxfId="22"/>
    <tableColumn id="5" xr3:uid="{40D2A66B-98D8-42C9-B4A3-CDA40B2B2D3F}" uniqueName="5" name="Service_Type" queryTableFieldId="5" dataDxfId="21"/>
    <tableColumn id="6" xr3:uid="{5B233DCA-D2FE-423E-96C0-4934D520C23E}" uniqueName="6" name="Shipment_Weight" queryTableFieldId="6"/>
    <tableColumn id="7" xr3:uid="{992B4379-61C8-4A33-91D4-83D733434F56}" uniqueName="7" name="Shipment_Charges" queryTableFieldId="7"/>
    <tableColumn id="8" xr3:uid="{7084FD4B-427D-438B-8CB1-41CC3796C965}" uniqueName="8" name="SR_ADDR" queryTableFieldId="8" dataDxfId="20"/>
    <tableColumn id="9" xr3:uid="{C6C54F76-8F5E-494E-9811-41C0A6C24474}" uniqueName="9" name="DS_ADDR" queryTableFieldId="9" dataDxfId="19"/>
    <tableColumn id="10" xr3:uid="{C52DAF62-CD12-4898-9BA9-D41E62E6355D}" uniqueName="10" name="Current_Status" queryTableFieldId="10" dataDxfId="18"/>
    <tableColumn id="11" xr3:uid="{E3261032-31DA-45B9-9F91-4EE44121BB9F}" uniqueName="11" name="Sent_date" queryTableFieldId="11" dataDxfId="17"/>
    <tableColumn id="12" xr3:uid="{2AB570A8-130E-47D2-ADCE-756A690632AD}" uniqueName="12" name="Delivery_date" queryTableFieldId="12" dataDxfId="16"/>
    <tableColumn id="13" xr3:uid="{8BDC0922-5115-4520-9676-8420C99C1BFA}" uniqueName="13" name="ShipmentEfficiency" queryTableFieldId="13"/>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EB829-4BD7-4E69-9BDF-18D07C290F68}">
  <dimension ref="A1:J201"/>
  <sheetViews>
    <sheetView topLeftCell="A177" workbookViewId="0">
      <selection activeCell="E1" sqref="E1:E1048576"/>
    </sheetView>
  </sheetViews>
  <sheetFormatPr defaultRowHeight="14.4" x14ac:dyDescent="0.3"/>
  <cols>
    <col min="1" max="1" width="7.109375" bestFit="1" customWidth="1"/>
    <col min="2" max="2" width="17.44140625" bestFit="1" customWidth="1"/>
    <col min="3" max="3" width="16.5546875" bestFit="1" customWidth="1"/>
    <col min="4" max="4" width="15.6640625" bestFit="1" customWidth="1"/>
    <col min="5" max="5" width="16.88671875" bestFit="1" customWidth="1"/>
    <col min="6" max="6" width="17.109375" bestFit="1" customWidth="1"/>
    <col min="7" max="7" width="15.77734375" style="1" bestFit="1" customWidth="1"/>
    <col min="8" max="8" width="18.44140625" bestFit="1" customWidth="1"/>
    <col min="9" max="9" width="16.109375" bestFit="1" customWidth="1"/>
    <col min="10" max="10" width="15.88671875" bestFit="1" customWidth="1"/>
  </cols>
  <sheetData>
    <row r="1" spans="1:10" x14ac:dyDescent="0.3">
      <c r="A1" t="s">
        <v>0</v>
      </c>
      <c r="B1" t="s">
        <v>1</v>
      </c>
      <c r="C1" t="s">
        <v>2</v>
      </c>
      <c r="D1" t="s">
        <v>3</v>
      </c>
      <c r="E1" t="s">
        <v>4</v>
      </c>
      <c r="F1" t="s">
        <v>5</v>
      </c>
      <c r="G1" s="1" t="s">
        <v>6</v>
      </c>
      <c r="H1" t="s">
        <v>7</v>
      </c>
      <c r="I1" t="s">
        <v>8</v>
      </c>
      <c r="J1" t="s">
        <v>818</v>
      </c>
    </row>
    <row r="2" spans="1:10" x14ac:dyDescent="0.3">
      <c r="A2">
        <v>1334</v>
      </c>
      <c r="B2" t="s">
        <v>9</v>
      </c>
      <c r="C2" t="s">
        <v>10</v>
      </c>
      <c r="D2">
        <v>16</v>
      </c>
      <c r="E2" t="s">
        <v>11</v>
      </c>
      <c r="F2" t="s">
        <v>12</v>
      </c>
      <c r="G2" s="1">
        <v>40512</v>
      </c>
      <c r="H2" t="s">
        <v>13</v>
      </c>
      <c r="I2">
        <v>99604</v>
      </c>
      <c r="J2">
        <f>MONTH(Customer_payments[[#This Row],[Payment_Date]])</f>
        <v>11</v>
      </c>
    </row>
    <row r="3" spans="1:10" x14ac:dyDescent="0.3">
      <c r="A3">
        <v>175</v>
      </c>
      <c r="B3" t="s">
        <v>14</v>
      </c>
      <c r="C3" t="s">
        <v>15</v>
      </c>
      <c r="D3">
        <v>44</v>
      </c>
      <c r="E3" t="s">
        <v>16</v>
      </c>
      <c r="F3" t="s">
        <v>17</v>
      </c>
      <c r="H3" t="s">
        <v>13</v>
      </c>
      <c r="I3">
        <v>99492</v>
      </c>
      <c r="J3">
        <f>MONTH(Customer_payments[[#This Row],[Payment_Date]])</f>
        <v>1</v>
      </c>
    </row>
    <row r="4" spans="1:10" x14ac:dyDescent="0.3">
      <c r="A4">
        <v>207</v>
      </c>
      <c r="B4" t="s">
        <v>18</v>
      </c>
      <c r="C4" t="s">
        <v>19</v>
      </c>
      <c r="D4">
        <v>9</v>
      </c>
      <c r="E4" t="s">
        <v>11</v>
      </c>
      <c r="F4" t="s">
        <v>12</v>
      </c>
      <c r="G4" s="1">
        <v>38610</v>
      </c>
      <c r="H4" t="s">
        <v>13</v>
      </c>
      <c r="I4">
        <v>99367</v>
      </c>
      <c r="J4">
        <f>MONTH(Customer_payments[[#This Row],[Payment_Date]])</f>
        <v>9</v>
      </c>
    </row>
    <row r="5" spans="1:10" x14ac:dyDescent="0.3">
      <c r="A5">
        <v>2154</v>
      </c>
      <c r="B5" t="s">
        <v>20</v>
      </c>
      <c r="C5" t="s">
        <v>15</v>
      </c>
      <c r="D5">
        <v>52</v>
      </c>
      <c r="E5" t="s">
        <v>11</v>
      </c>
      <c r="F5" t="s">
        <v>17</v>
      </c>
      <c r="H5" t="s">
        <v>13</v>
      </c>
      <c r="I5">
        <v>99239</v>
      </c>
      <c r="J5">
        <f>MONTH(Customer_payments[[#This Row],[Payment_Date]])</f>
        <v>1</v>
      </c>
    </row>
    <row r="6" spans="1:10" x14ac:dyDescent="0.3">
      <c r="A6">
        <v>3</v>
      </c>
      <c r="B6" t="s">
        <v>21</v>
      </c>
      <c r="C6" t="s">
        <v>10</v>
      </c>
      <c r="D6">
        <v>32</v>
      </c>
      <c r="E6" t="s">
        <v>16</v>
      </c>
      <c r="F6" t="s">
        <v>17</v>
      </c>
      <c r="H6" t="s">
        <v>13</v>
      </c>
      <c r="I6">
        <v>98982</v>
      </c>
      <c r="J6">
        <f>MONTH(Customer_payments[[#This Row],[Payment_Date]])</f>
        <v>1</v>
      </c>
    </row>
    <row r="7" spans="1:10" x14ac:dyDescent="0.3">
      <c r="A7">
        <v>6772</v>
      </c>
      <c r="B7" t="s">
        <v>22</v>
      </c>
      <c r="C7" t="s">
        <v>15</v>
      </c>
      <c r="D7">
        <v>50</v>
      </c>
      <c r="E7" t="s">
        <v>11</v>
      </c>
      <c r="F7" t="s">
        <v>12</v>
      </c>
      <c r="G7" s="1">
        <v>40085</v>
      </c>
      <c r="H7" t="s">
        <v>13</v>
      </c>
      <c r="I7">
        <v>96963</v>
      </c>
      <c r="J7">
        <f>MONTH(Customer_payments[[#This Row],[Payment_Date]])</f>
        <v>9</v>
      </c>
    </row>
    <row r="8" spans="1:10" x14ac:dyDescent="0.3">
      <c r="A8">
        <v>4060</v>
      </c>
      <c r="B8" t="s">
        <v>23</v>
      </c>
      <c r="C8" t="s">
        <v>15</v>
      </c>
      <c r="D8">
        <v>41</v>
      </c>
      <c r="E8" t="s">
        <v>16</v>
      </c>
      <c r="F8" t="s">
        <v>12</v>
      </c>
      <c r="G8" s="1">
        <v>31998</v>
      </c>
      <c r="H8" t="s">
        <v>13</v>
      </c>
      <c r="I8">
        <v>96496</v>
      </c>
      <c r="J8">
        <f>MONTH(Customer_payments[[#This Row],[Payment_Date]])</f>
        <v>8</v>
      </c>
    </row>
    <row r="9" spans="1:10" x14ac:dyDescent="0.3">
      <c r="A9">
        <v>3042</v>
      </c>
      <c r="B9" t="s">
        <v>24</v>
      </c>
      <c r="C9" t="s">
        <v>15</v>
      </c>
      <c r="D9">
        <v>53</v>
      </c>
      <c r="E9" t="s">
        <v>11</v>
      </c>
      <c r="F9" t="s">
        <v>12</v>
      </c>
      <c r="G9" s="1">
        <v>33373</v>
      </c>
      <c r="H9" t="s">
        <v>13</v>
      </c>
      <c r="I9">
        <v>95516</v>
      </c>
      <c r="J9">
        <f>MONTH(Customer_payments[[#This Row],[Payment_Date]])</f>
        <v>5</v>
      </c>
    </row>
    <row r="10" spans="1:10" x14ac:dyDescent="0.3">
      <c r="A10">
        <v>2183</v>
      </c>
      <c r="B10" t="s">
        <v>25</v>
      </c>
      <c r="C10" t="s">
        <v>10</v>
      </c>
      <c r="D10">
        <v>52</v>
      </c>
      <c r="E10" t="s">
        <v>16</v>
      </c>
      <c r="F10" t="s">
        <v>12</v>
      </c>
      <c r="G10" s="1">
        <v>37957</v>
      </c>
      <c r="H10" t="s">
        <v>13</v>
      </c>
      <c r="I10">
        <v>94926</v>
      </c>
      <c r="J10">
        <f>MONTH(Customer_payments[[#This Row],[Payment_Date]])</f>
        <v>12</v>
      </c>
    </row>
    <row r="11" spans="1:10" x14ac:dyDescent="0.3">
      <c r="A11">
        <v>5489</v>
      </c>
      <c r="B11" t="s">
        <v>26</v>
      </c>
      <c r="C11" t="s">
        <v>19</v>
      </c>
      <c r="D11">
        <v>50</v>
      </c>
      <c r="E11" t="s">
        <v>11</v>
      </c>
      <c r="F11" t="s">
        <v>12</v>
      </c>
      <c r="G11" s="1">
        <v>37507</v>
      </c>
      <c r="H11" t="s">
        <v>13</v>
      </c>
      <c r="I11">
        <v>93642</v>
      </c>
      <c r="J11">
        <f>MONTH(Customer_payments[[#This Row],[Payment_Date]])</f>
        <v>9</v>
      </c>
    </row>
    <row r="12" spans="1:10" x14ac:dyDescent="0.3">
      <c r="A12">
        <v>805</v>
      </c>
      <c r="B12" t="s">
        <v>27</v>
      </c>
      <c r="C12" t="s">
        <v>19</v>
      </c>
      <c r="D12">
        <v>12</v>
      </c>
      <c r="E12" t="s">
        <v>11</v>
      </c>
      <c r="F12" t="s">
        <v>17</v>
      </c>
      <c r="H12" t="s">
        <v>13</v>
      </c>
      <c r="I12">
        <v>91926</v>
      </c>
      <c r="J12">
        <f>MONTH(Customer_payments[[#This Row],[Payment_Date]])</f>
        <v>1</v>
      </c>
    </row>
    <row r="13" spans="1:10" x14ac:dyDescent="0.3">
      <c r="A13">
        <v>5209</v>
      </c>
      <c r="B13" t="s">
        <v>28</v>
      </c>
      <c r="C13" t="s">
        <v>19</v>
      </c>
      <c r="D13">
        <v>7</v>
      </c>
      <c r="E13" t="s">
        <v>11</v>
      </c>
      <c r="F13" t="s">
        <v>12</v>
      </c>
      <c r="G13" s="1">
        <v>28003</v>
      </c>
      <c r="H13" t="s">
        <v>13</v>
      </c>
      <c r="I13">
        <v>91842</v>
      </c>
      <c r="J13">
        <f>MONTH(Customer_payments[[#This Row],[Payment_Date]])</f>
        <v>8</v>
      </c>
    </row>
    <row r="14" spans="1:10" x14ac:dyDescent="0.3">
      <c r="A14">
        <v>8887</v>
      </c>
      <c r="B14" t="s">
        <v>29</v>
      </c>
      <c r="C14" t="s">
        <v>19</v>
      </c>
      <c r="D14">
        <v>45</v>
      </c>
      <c r="E14" t="s">
        <v>16</v>
      </c>
      <c r="F14" t="s">
        <v>12</v>
      </c>
      <c r="G14" s="1">
        <v>39881</v>
      </c>
      <c r="H14" t="s">
        <v>13</v>
      </c>
      <c r="I14">
        <v>90449</v>
      </c>
      <c r="J14">
        <f>MONTH(Customer_payments[[#This Row],[Payment_Date]])</f>
        <v>3</v>
      </c>
    </row>
    <row r="15" spans="1:10" x14ac:dyDescent="0.3">
      <c r="A15">
        <v>6361</v>
      </c>
      <c r="B15" t="s">
        <v>30</v>
      </c>
      <c r="C15" t="s">
        <v>10</v>
      </c>
      <c r="D15">
        <v>27</v>
      </c>
      <c r="E15" t="s">
        <v>16</v>
      </c>
      <c r="F15" t="s">
        <v>12</v>
      </c>
      <c r="G15" s="1">
        <v>34183</v>
      </c>
      <c r="H15" t="s">
        <v>13</v>
      </c>
      <c r="I15">
        <v>90380</v>
      </c>
      <c r="J15">
        <f>MONTH(Customer_payments[[#This Row],[Payment_Date]])</f>
        <v>8</v>
      </c>
    </row>
    <row r="16" spans="1:10" x14ac:dyDescent="0.3">
      <c r="A16">
        <v>4789</v>
      </c>
      <c r="B16" t="s">
        <v>31</v>
      </c>
      <c r="C16" t="s">
        <v>10</v>
      </c>
      <c r="D16">
        <v>10</v>
      </c>
      <c r="E16" t="s">
        <v>11</v>
      </c>
      <c r="F16" t="s">
        <v>17</v>
      </c>
      <c r="H16" t="s">
        <v>13</v>
      </c>
      <c r="I16">
        <v>89846</v>
      </c>
      <c r="J16">
        <f>MONTH(Customer_payments[[#This Row],[Payment_Date]])</f>
        <v>1</v>
      </c>
    </row>
    <row r="17" spans="1:10" x14ac:dyDescent="0.3">
      <c r="A17">
        <v>7253</v>
      </c>
      <c r="B17" t="s">
        <v>32</v>
      </c>
      <c r="C17" t="s">
        <v>10</v>
      </c>
      <c r="D17">
        <v>47</v>
      </c>
      <c r="E17" t="s">
        <v>11</v>
      </c>
      <c r="F17" t="s">
        <v>12</v>
      </c>
      <c r="G17" s="1">
        <v>38048</v>
      </c>
      <c r="H17" t="s">
        <v>13</v>
      </c>
      <c r="I17">
        <v>89420</v>
      </c>
      <c r="J17">
        <f>MONTH(Customer_payments[[#This Row],[Payment_Date]])</f>
        <v>3</v>
      </c>
    </row>
    <row r="18" spans="1:10" x14ac:dyDescent="0.3">
      <c r="A18">
        <v>4732</v>
      </c>
      <c r="B18" t="s">
        <v>33</v>
      </c>
      <c r="C18" t="s">
        <v>10</v>
      </c>
      <c r="D18">
        <v>46</v>
      </c>
      <c r="E18" t="s">
        <v>11</v>
      </c>
      <c r="F18" t="s">
        <v>17</v>
      </c>
      <c r="H18" t="s">
        <v>13</v>
      </c>
      <c r="I18">
        <v>89389</v>
      </c>
      <c r="J18">
        <f>MONTH(Customer_payments[[#This Row],[Payment_Date]])</f>
        <v>1</v>
      </c>
    </row>
    <row r="19" spans="1:10" x14ac:dyDescent="0.3">
      <c r="A19">
        <v>4628</v>
      </c>
      <c r="B19" t="s">
        <v>34</v>
      </c>
      <c r="C19" t="s">
        <v>19</v>
      </c>
      <c r="D19">
        <v>16</v>
      </c>
      <c r="E19" t="s">
        <v>11</v>
      </c>
      <c r="F19" t="s">
        <v>17</v>
      </c>
      <c r="H19" t="s">
        <v>13</v>
      </c>
      <c r="I19">
        <v>88092</v>
      </c>
      <c r="J19">
        <f>MONTH(Customer_payments[[#This Row],[Payment_Date]])</f>
        <v>1</v>
      </c>
    </row>
    <row r="20" spans="1:10" x14ac:dyDescent="0.3">
      <c r="A20">
        <v>8104</v>
      </c>
      <c r="B20" t="s">
        <v>35</v>
      </c>
      <c r="C20" t="s">
        <v>15</v>
      </c>
      <c r="D20">
        <v>14</v>
      </c>
      <c r="E20" t="s">
        <v>16</v>
      </c>
      <c r="F20" t="s">
        <v>17</v>
      </c>
      <c r="H20" t="s">
        <v>13</v>
      </c>
      <c r="I20">
        <v>88037</v>
      </c>
      <c r="J20">
        <f>MONTH(Customer_payments[[#This Row],[Payment_Date]])</f>
        <v>1</v>
      </c>
    </row>
    <row r="21" spans="1:10" x14ac:dyDescent="0.3">
      <c r="A21">
        <v>7043</v>
      </c>
      <c r="B21" t="s">
        <v>36</v>
      </c>
      <c r="C21" t="s">
        <v>19</v>
      </c>
      <c r="D21">
        <v>23</v>
      </c>
      <c r="E21" t="s">
        <v>11</v>
      </c>
      <c r="F21" t="s">
        <v>17</v>
      </c>
      <c r="H21" t="s">
        <v>13</v>
      </c>
      <c r="I21">
        <v>87886</v>
      </c>
      <c r="J21">
        <f>MONTH(Customer_payments[[#This Row],[Payment_Date]])</f>
        <v>1</v>
      </c>
    </row>
    <row r="22" spans="1:10" x14ac:dyDescent="0.3">
      <c r="A22">
        <v>9792</v>
      </c>
      <c r="B22" t="s">
        <v>37</v>
      </c>
      <c r="C22" t="s">
        <v>19</v>
      </c>
      <c r="D22">
        <v>32</v>
      </c>
      <c r="E22" t="s">
        <v>11</v>
      </c>
      <c r="F22" t="s">
        <v>12</v>
      </c>
      <c r="G22" s="1">
        <v>41891</v>
      </c>
      <c r="H22" t="s">
        <v>13</v>
      </c>
      <c r="I22">
        <v>87828</v>
      </c>
      <c r="J22">
        <f>MONTH(Customer_payments[[#This Row],[Payment_Date]])</f>
        <v>9</v>
      </c>
    </row>
    <row r="23" spans="1:10" x14ac:dyDescent="0.3">
      <c r="A23">
        <v>9631</v>
      </c>
      <c r="B23" t="s">
        <v>38</v>
      </c>
      <c r="C23" t="s">
        <v>19</v>
      </c>
      <c r="D23">
        <v>15</v>
      </c>
      <c r="E23" t="s">
        <v>11</v>
      </c>
      <c r="F23" t="s">
        <v>17</v>
      </c>
      <c r="H23" t="s">
        <v>13</v>
      </c>
      <c r="I23">
        <v>87420</v>
      </c>
      <c r="J23">
        <f>MONTH(Customer_payments[[#This Row],[Payment_Date]])</f>
        <v>1</v>
      </c>
    </row>
    <row r="24" spans="1:10" x14ac:dyDescent="0.3">
      <c r="A24">
        <v>7342</v>
      </c>
      <c r="B24" t="s">
        <v>39</v>
      </c>
      <c r="C24" t="s">
        <v>15</v>
      </c>
      <c r="D24">
        <v>25</v>
      </c>
      <c r="E24" t="s">
        <v>11</v>
      </c>
      <c r="F24" t="s">
        <v>17</v>
      </c>
      <c r="H24" t="s">
        <v>13</v>
      </c>
      <c r="I24">
        <v>87400</v>
      </c>
      <c r="J24">
        <f>MONTH(Customer_payments[[#This Row],[Payment_Date]])</f>
        <v>1</v>
      </c>
    </row>
    <row r="25" spans="1:10" x14ac:dyDescent="0.3">
      <c r="A25">
        <v>4103</v>
      </c>
      <c r="B25" t="s">
        <v>40</v>
      </c>
      <c r="C25" t="s">
        <v>10</v>
      </c>
      <c r="D25">
        <v>54</v>
      </c>
      <c r="E25" t="s">
        <v>11</v>
      </c>
      <c r="F25" t="s">
        <v>17</v>
      </c>
      <c r="H25" t="s">
        <v>13</v>
      </c>
      <c r="I25">
        <v>86767</v>
      </c>
      <c r="J25">
        <f>MONTH(Customer_payments[[#This Row],[Payment_Date]])</f>
        <v>1</v>
      </c>
    </row>
    <row r="26" spans="1:10" x14ac:dyDescent="0.3">
      <c r="A26">
        <v>3622</v>
      </c>
      <c r="B26" t="s">
        <v>41</v>
      </c>
      <c r="C26" t="s">
        <v>10</v>
      </c>
      <c r="D26">
        <v>8</v>
      </c>
      <c r="E26" t="s">
        <v>16</v>
      </c>
      <c r="F26" t="s">
        <v>12</v>
      </c>
      <c r="G26" s="1">
        <v>43525</v>
      </c>
      <c r="H26" t="s">
        <v>13</v>
      </c>
      <c r="I26">
        <v>86132</v>
      </c>
      <c r="J26">
        <f>MONTH(Customer_payments[[#This Row],[Payment_Date]])</f>
        <v>3</v>
      </c>
    </row>
    <row r="27" spans="1:10" x14ac:dyDescent="0.3">
      <c r="A27">
        <v>390</v>
      </c>
      <c r="B27" t="s">
        <v>42</v>
      </c>
      <c r="C27" t="s">
        <v>19</v>
      </c>
      <c r="D27">
        <v>16</v>
      </c>
      <c r="E27" t="s">
        <v>11</v>
      </c>
      <c r="F27" t="s">
        <v>12</v>
      </c>
      <c r="G27" s="1">
        <v>41593</v>
      </c>
      <c r="H27" t="s">
        <v>13</v>
      </c>
      <c r="I27">
        <v>86040</v>
      </c>
      <c r="J27">
        <f>MONTH(Customer_payments[[#This Row],[Payment_Date]])</f>
        <v>11</v>
      </c>
    </row>
    <row r="28" spans="1:10" x14ac:dyDescent="0.3">
      <c r="A28">
        <v>8747</v>
      </c>
      <c r="B28" t="s">
        <v>43</v>
      </c>
      <c r="C28" t="s">
        <v>19</v>
      </c>
      <c r="D28">
        <v>20</v>
      </c>
      <c r="E28" t="s">
        <v>11</v>
      </c>
      <c r="F28" t="s">
        <v>12</v>
      </c>
      <c r="G28" s="1">
        <v>36049</v>
      </c>
      <c r="H28" t="s">
        <v>13</v>
      </c>
      <c r="I28">
        <v>85889</v>
      </c>
      <c r="J28">
        <f>MONTH(Customer_payments[[#This Row],[Payment_Date]])</f>
        <v>9</v>
      </c>
    </row>
    <row r="29" spans="1:10" x14ac:dyDescent="0.3">
      <c r="A29">
        <v>2066</v>
      </c>
      <c r="B29" t="s">
        <v>20</v>
      </c>
      <c r="C29" t="s">
        <v>19</v>
      </c>
      <c r="D29">
        <v>21</v>
      </c>
      <c r="E29" t="s">
        <v>11</v>
      </c>
      <c r="F29" t="s">
        <v>17</v>
      </c>
      <c r="H29" t="s">
        <v>13</v>
      </c>
      <c r="I29">
        <v>84665</v>
      </c>
      <c r="J29">
        <f>MONTH(Customer_payments[[#This Row],[Payment_Date]])</f>
        <v>1</v>
      </c>
    </row>
    <row r="30" spans="1:10" x14ac:dyDescent="0.3">
      <c r="A30">
        <v>7164</v>
      </c>
      <c r="B30" t="s">
        <v>44</v>
      </c>
      <c r="C30" t="s">
        <v>19</v>
      </c>
      <c r="D30">
        <v>45</v>
      </c>
      <c r="E30" t="s">
        <v>11</v>
      </c>
      <c r="F30" t="s">
        <v>12</v>
      </c>
      <c r="G30" s="1">
        <v>32768</v>
      </c>
      <c r="H30" t="s">
        <v>13</v>
      </c>
      <c r="I30">
        <v>83253</v>
      </c>
      <c r="J30">
        <f>MONTH(Customer_payments[[#This Row],[Payment_Date]])</f>
        <v>9</v>
      </c>
    </row>
    <row r="31" spans="1:10" x14ac:dyDescent="0.3">
      <c r="A31">
        <v>1211</v>
      </c>
      <c r="B31" t="s">
        <v>45</v>
      </c>
      <c r="C31" t="s">
        <v>10</v>
      </c>
      <c r="D31">
        <v>14</v>
      </c>
      <c r="E31" t="s">
        <v>11</v>
      </c>
      <c r="F31" t="s">
        <v>17</v>
      </c>
      <c r="H31" t="s">
        <v>13</v>
      </c>
      <c r="I31">
        <v>83102</v>
      </c>
      <c r="J31">
        <f>MONTH(Customer_payments[[#This Row],[Payment_Date]])</f>
        <v>1</v>
      </c>
    </row>
    <row r="32" spans="1:10" x14ac:dyDescent="0.3">
      <c r="A32">
        <v>8106</v>
      </c>
      <c r="B32" t="s">
        <v>46</v>
      </c>
      <c r="C32" t="s">
        <v>19</v>
      </c>
      <c r="D32">
        <v>31</v>
      </c>
      <c r="E32" t="s">
        <v>16</v>
      </c>
      <c r="F32" t="s">
        <v>12</v>
      </c>
      <c r="G32" s="1">
        <v>36224</v>
      </c>
      <c r="H32" t="s">
        <v>13</v>
      </c>
      <c r="I32">
        <v>83002</v>
      </c>
      <c r="J32">
        <f>MONTH(Customer_payments[[#This Row],[Payment_Date]])</f>
        <v>3</v>
      </c>
    </row>
    <row r="33" spans="1:10" x14ac:dyDescent="0.3">
      <c r="A33">
        <v>9271</v>
      </c>
      <c r="B33" t="s">
        <v>47</v>
      </c>
      <c r="C33" t="s">
        <v>19</v>
      </c>
      <c r="D33">
        <v>26</v>
      </c>
      <c r="E33" t="s">
        <v>11</v>
      </c>
      <c r="F33" t="s">
        <v>17</v>
      </c>
      <c r="H33" t="s">
        <v>13</v>
      </c>
      <c r="I33">
        <v>81148</v>
      </c>
      <c r="J33">
        <f>MONTH(Customer_payments[[#This Row],[Payment_Date]])</f>
        <v>1</v>
      </c>
    </row>
    <row r="34" spans="1:10" x14ac:dyDescent="0.3">
      <c r="A34">
        <v>8894</v>
      </c>
      <c r="B34" t="s">
        <v>48</v>
      </c>
      <c r="C34" t="s">
        <v>15</v>
      </c>
      <c r="D34">
        <v>17</v>
      </c>
      <c r="E34" t="s">
        <v>16</v>
      </c>
      <c r="F34" t="s">
        <v>17</v>
      </c>
      <c r="H34" t="s">
        <v>13</v>
      </c>
      <c r="I34">
        <v>80901</v>
      </c>
      <c r="J34">
        <f>MONTH(Customer_payments[[#This Row],[Payment_Date]])</f>
        <v>1</v>
      </c>
    </row>
    <row r="35" spans="1:10" x14ac:dyDescent="0.3">
      <c r="A35">
        <v>1275</v>
      </c>
      <c r="B35" t="s">
        <v>49</v>
      </c>
      <c r="C35" t="s">
        <v>19</v>
      </c>
      <c r="D35">
        <v>26</v>
      </c>
      <c r="E35" t="s">
        <v>11</v>
      </c>
      <c r="F35" t="s">
        <v>12</v>
      </c>
      <c r="G35" s="1">
        <v>40246</v>
      </c>
      <c r="H35" t="s">
        <v>13</v>
      </c>
      <c r="I35">
        <v>80796</v>
      </c>
      <c r="J35">
        <f>MONTH(Customer_payments[[#This Row],[Payment_Date]])</f>
        <v>3</v>
      </c>
    </row>
    <row r="36" spans="1:10" x14ac:dyDescent="0.3">
      <c r="A36">
        <v>2593</v>
      </c>
      <c r="B36" t="s">
        <v>50</v>
      </c>
      <c r="C36" t="s">
        <v>15</v>
      </c>
      <c r="D36">
        <v>13</v>
      </c>
      <c r="E36" t="s">
        <v>11</v>
      </c>
      <c r="F36" t="s">
        <v>12</v>
      </c>
      <c r="G36" s="1">
        <v>39839</v>
      </c>
      <c r="H36" t="s">
        <v>13</v>
      </c>
      <c r="I36">
        <v>80179</v>
      </c>
      <c r="J36">
        <f>MONTH(Customer_payments[[#This Row],[Payment_Date]])</f>
        <v>1</v>
      </c>
    </row>
    <row r="37" spans="1:10" x14ac:dyDescent="0.3">
      <c r="A37">
        <v>3089</v>
      </c>
      <c r="B37" t="s">
        <v>51</v>
      </c>
      <c r="C37" t="s">
        <v>10</v>
      </c>
      <c r="D37">
        <v>25</v>
      </c>
      <c r="E37" t="s">
        <v>16</v>
      </c>
      <c r="F37" t="s">
        <v>17</v>
      </c>
      <c r="H37" t="s">
        <v>13</v>
      </c>
      <c r="I37">
        <v>78953</v>
      </c>
      <c r="J37">
        <f>MONTH(Customer_payments[[#This Row],[Payment_Date]])</f>
        <v>1</v>
      </c>
    </row>
    <row r="38" spans="1:10" x14ac:dyDescent="0.3">
      <c r="A38">
        <v>3189</v>
      </c>
      <c r="B38" t="s">
        <v>52</v>
      </c>
      <c r="C38" t="s">
        <v>15</v>
      </c>
      <c r="D38">
        <v>12</v>
      </c>
      <c r="E38" t="s">
        <v>16</v>
      </c>
      <c r="F38" t="s">
        <v>12</v>
      </c>
      <c r="G38" s="1">
        <v>35621</v>
      </c>
      <c r="H38" t="s">
        <v>13</v>
      </c>
      <c r="I38">
        <v>78698</v>
      </c>
      <c r="J38">
        <f>MONTH(Customer_payments[[#This Row],[Payment_Date]])</f>
        <v>7</v>
      </c>
    </row>
    <row r="39" spans="1:10" x14ac:dyDescent="0.3">
      <c r="A39">
        <v>6153</v>
      </c>
      <c r="B39" t="s">
        <v>53</v>
      </c>
      <c r="C39" t="s">
        <v>19</v>
      </c>
      <c r="D39">
        <v>43</v>
      </c>
      <c r="E39" t="s">
        <v>16</v>
      </c>
      <c r="F39" t="s">
        <v>12</v>
      </c>
      <c r="G39" s="1">
        <v>35681</v>
      </c>
      <c r="H39" t="s">
        <v>13</v>
      </c>
      <c r="I39">
        <v>77861</v>
      </c>
      <c r="J39">
        <f>MONTH(Customer_payments[[#This Row],[Payment_Date]])</f>
        <v>9</v>
      </c>
    </row>
    <row r="40" spans="1:10" x14ac:dyDescent="0.3">
      <c r="A40">
        <v>2478</v>
      </c>
      <c r="B40" t="s">
        <v>54</v>
      </c>
      <c r="C40" t="s">
        <v>10</v>
      </c>
      <c r="D40">
        <v>23</v>
      </c>
      <c r="E40" t="s">
        <v>16</v>
      </c>
      <c r="F40" t="s">
        <v>12</v>
      </c>
      <c r="G40" s="1">
        <v>30589</v>
      </c>
      <c r="H40" t="s">
        <v>13</v>
      </c>
      <c r="I40">
        <v>77649</v>
      </c>
      <c r="J40">
        <f>MONTH(Customer_payments[[#This Row],[Payment_Date]])</f>
        <v>9</v>
      </c>
    </row>
    <row r="41" spans="1:10" x14ac:dyDescent="0.3">
      <c r="A41">
        <v>4892</v>
      </c>
      <c r="B41" t="s">
        <v>55</v>
      </c>
      <c r="C41" t="s">
        <v>15</v>
      </c>
      <c r="D41">
        <v>36</v>
      </c>
      <c r="E41" t="s">
        <v>16</v>
      </c>
      <c r="F41" t="s">
        <v>17</v>
      </c>
      <c r="H41" t="s">
        <v>13</v>
      </c>
      <c r="I41">
        <v>77570</v>
      </c>
      <c r="J41">
        <f>MONTH(Customer_payments[[#This Row],[Payment_Date]])</f>
        <v>1</v>
      </c>
    </row>
    <row r="42" spans="1:10" x14ac:dyDescent="0.3">
      <c r="A42">
        <v>8183</v>
      </c>
      <c r="B42" t="s">
        <v>56</v>
      </c>
      <c r="C42" t="s">
        <v>19</v>
      </c>
      <c r="D42">
        <v>15</v>
      </c>
      <c r="E42" t="s">
        <v>11</v>
      </c>
      <c r="F42" t="s">
        <v>17</v>
      </c>
      <c r="H42" t="s">
        <v>13</v>
      </c>
      <c r="I42">
        <v>77342</v>
      </c>
      <c r="J42">
        <f>MONTH(Customer_payments[[#This Row],[Payment_Date]])</f>
        <v>1</v>
      </c>
    </row>
    <row r="43" spans="1:10" x14ac:dyDescent="0.3">
      <c r="A43">
        <v>4296</v>
      </c>
      <c r="B43" t="s">
        <v>57</v>
      </c>
      <c r="C43" t="s">
        <v>10</v>
      </c>
      <c r="D43">
        <v>13</v>
      </c>
      <c r="E43" t="s">
        <v>16</v>
      </c>
      <c r="F43" t="s">
        <v>12</v>
      </c>
      <c r="G43" s="1">
        <v>41342</v>
      </c>
      <c r="H43" t="s">
        <v>13</v>
      </c>
      <c r="I43">
        <v>77063</v>
      </c>
      <c r="J43">
        <f>MONTH(Customer_payments[[#This Row],[Payment_Date]])</f>
        <v>3</v>
      </c>
    </row>
    <row r="44" spans="1:10" x14ac:dyDescent="0.3">
      <c r="A44">
        <v>9423</v>
      </c>
      <c r="B44" t="s">
        <v>58</v>
      </c>
      <c r="C44" t="s">
        <v>19</v>
      </c>
      <c r="D44">
        <v>21</v>
      </c>
      <c r="E44" t="s">
        <v>11</v>
      </c>
      <c r="F44" t="s">
        <v>17</v>
      </c>
      <c r="H44" t="s">
        <v>13</v>
      </c>
      <c r="I44">
        <v>76658</v>
      </c>
      <c r="J44">
        <f>MONTH(Customer_payments[[#This Row],[Payment_Date]])</f>
        <v>1</v>
      </c>
    </row>
    <row r="45" spans="1:10" x14ac:dyDescent="0.3">
      <c r="A45">
        <v>4551</v>
      </c>
      <c r="B45" t="s">
        <v>59</v>
      </c>
      <c r="C45" t="s">
        <v>15</v>
      </c>
      <c r="D45">
        <v>17</v>
      </c>
      <c r="E45" t="s">
        <v>16</v>
      </c>
      <c r="F45" t="s">
        <v>17</v>
      </c>
      <c r="H45" t="s">
        <v>13</v>
      </c>
      <c r="I45">
        <v>75766</v>
      </c>
      <c r="J45">
        <f>MONTH(Customer_payments[[#This Row],[Payment_Date]])</f>
        <v>1</v>
      </c>
    </row>
    <row r="46" spans="1:10" x14ac:dyDescent="0.3">
      <c r="A46">
        <v>8933</v>
      </c>
      <c r="B46" t="s">
        <v>60</v>
      </c>
      <c r="C46" t="s">
        <v>19</v>
      </c>
      <c r="D46">
        <v>17</v>
      </c>
      <c r="E46" t="s">
        <v>11</v>
      </c>
      <c r="F46" t="s">
        <v>12</v>
      </c>
      <c r="G46" s="1">
        <v>42971</v>
      </c>
      <c r="H46" t="s">
        <v>13</v>
      </c>
      <c r="I46">
        <v>75362</v>
      </c>
      <c r="J46">
        <f>MONTH(Customer_payments[[#This Row],[Payment_Date]])</f>
        <v>8</v>
      </c>
    </row>
    <row r="47" spans="1:10" x14ac:dyDescent="0.3">
      <c r="A47">
        <v>4899</v>
      </c>
      <c r="B47" t="s">
        <v>61</v>
      </c>
      <c r="C47" t="s">
        <v>10</v>
      </c>
      <c r="D47">
        <v>17</v>
      </c>
      <c r="E47" t="s">
        <v>11</v>
      </c>
      <c r="F47" t="s">
        <v>17</v>
      </c>
      <c r="H47" t="s">
        <v>13</v>
      </c>
      <c r="I47">
        <v>74930</v>
      </c>
      <c r="J47">
        <f>MONTH(Customer_payments[[#This Row],[Payment_Date]])</f>
        <v>1</v>
      </c>
    </row>
    <row r="48" spans="1:10" x14ac:dyDescent="0.3">
      <c r="A48">
        <v>4252</v>
      </c>
      <c r="B48" t="s">
        <v>62</v>
      </c>
      <c r="C48" t="s">
        <v>10</v>
      </c>
      <c r="D48">
        <v>37</v>
      </c>
      <c r="E48" t="s">
        <v>11</v>
      </c>
      <c r="F48" t="s">
        <v>17</v>
      </c>
      <c r="H48" t="s">
        <v>13</v>
      </c>
      <c r="I48">
        <v>74338</v>
      </c>
      <c r="J48">
        <f>MONTH(Customer_payments[[#This Row],[Payment_Date]])</f>
        <v>1</v>
      </c>
    </row>
    <row r="49" spans="1:10" x14ac:dyDescent="0.3">
      <c r="A49">
        <v>8927</v>
      </c>
      <c r="B49" t="s">
        <v>63</v>
      </c>
      <c r="C49" t="s">
        <v>15</v>
      </c>
      <c r="D49">
        <v>50</v>
      </c>
      <c r="E49" t="s">
        <v>11</v>
      </c>
      <c r="F49" t="s">
        <v>12</v>
      </c>
      <c r="G49" s="1">
        <v>38311</v>
      </c>
      <c r="H49" t="s">
        <v>13</v>
      </c>
      <c r="I49">
        <v>74222</v>
      </c>
      <c r="J49">
        <f>MONTH(Customer_payments[[#This Row],[Payment_Date]])</f>
        <v>11</v>
      </c>
    </row>
    <row r="50" spans="1:10" x14ac:dyDescent="0.3">
      <c r="A50">
        <v>7146</v>
      </c>
      <c r="B50" t="s">
        <v>64</v>
      </c>
      <c r="C50" t="s">
        <v>15</v>
      </c>
      <c r="D50">
        <v>13</v>
      </c>
      <c r="E50" t="s">
        <v>16</v>
      </c>
      <c r="F50" t="s">
        <v>12</v>
      </c>
      <c r="G50" s="1">
        <v>37953</v>
      </c>
      <c r="H50" t="s">
        <v>13</v>
      </c>
      <c r="I50">
        <v>73874</v>
      </c>
      <c r="J50">
        <f>MONTH(Customer_payments[[#This Row],[Payment_Date]])</f>
        <v>11</v>
      </c>
    </row>
    <row r="51" spans="1:10" x14ac:dyDescent="0.3">
      <c r="A51">
        <v>693</v>
      </c>
      <c r="B51" t="s">
        <v>65</v>
      </c>
      <c r="C51" t="s">
        <v>10</v>
      </c>
      <c r="D51">
        <v>19</v>
      </c>
      <c r="E51" t="s">
        <v>16</v>
      </c>
      <c r="F51" t="s">
        <v>17</v>
      </c>
      <c r="H51" t="s">
        <v>13</v>
      </c>
      <c r="I51">
        <v>73589</v>
      </c>
      <c r="J51">
        <f>MONTH(Customer_payments[[#This Row],[Payment_Date]])</f>
        <v>1</v>
      </c>
    </row>
    <row r="52" spans="1:10" x14ac:dyDescent="0.3">
      <c r="A52">
        <v>1215</v>
      </c>
      <c r="B52" t="s">
        <v>65</v>
      </c>
      <c r="C52" t="s">
        <v>10</v>
      </c>
      <c r="D52">
        <v>38</v>
      </c>
      <c r="E52" t="s">
        <v>11</v>
      </c>
      <c r="F52" t="s">
        <v>12</v>
      </c>
      <c r="G52" s="1">
        <v>39012</v>
      </c>
      <c r="H52" t="s">
        <v>13</v>
      </c>
      <c r="I52">
        <v>73561</v>
      </c>
      <c r="J52">
        <f>MONTH(Customer_payments[[#This Row],[Payment_Date]])</f>
        <v>10</v>
      </c>
    </row>
    <row r="53" spans="1:10" x14ac:dyDescent="0.3">
      <c r="A53">
        <v>2096</v>
      </c>
      <c r="B53" t="s">
        <v>66</v>
      </c>
      <c r="C53" t="s">
        <v>10</v>
      </c>
      <c r="D53">
        <v>41</v>
      </c>
      <c r="E53" t="s">
        <v>16</v>
      </c>
      <c r="F53" t="s">
        <v>12</v>
      </c>
      <c r="G53" s="1">
        <v>41141</v>
      </c>
      <c r="H53" t="s">
        <v>13</v>
      </c>
      <c r="I53">
        <v>73423</v>
      </c>
      <c r="J53">
        <f>MONTH(Customer_payments[[#This Row],[Payment_Date]])</f>
        <v>8</v>
      </c>
    </row>
    <row r="54" spans="1:10" x14ac:dyDescent="0.3">
      <c r="A54">
        <v>3624</v>
      </c>
      <c r="B54" t="s">
        <v>67</v>
      </c>
      <c r="C54" t="s">
        <v>10</v>
      </c>
      <c r="D54">
        <v>9</v>
      </c>
      <c r="E54" t="s">
        <v>16</v>
      </c>
      <c r="F54" t="s">
        <v>12</v>
      </c>
      <c r="G54" s="1">
        <v>42083</v>
      </c>
      <c r="H54" t="s">
        <v>13</v>
      </c>
      <c r="I54">
        <v>73137</v>
      </c>
      <c r="J54">
        <f>MONTH(Customer_payments[[#This Row],[Payment_Date]])</f>
        <v>3</v>
      </c>
    </row>
    <row r="55" spans="1:10" x14ac:dyDescent="0.3">
      <c r="A55">
        <v>7005</v>
      </c>
      <c r="B55" t="s">
        <v>68</v>
      </c>
      <c r="C55" t="s">
        <v>19</v>
      </c>
      <c r="D55">
        <v>55</v>
      </c>
      <c r="E55" t="s">
        <v>16</v>
      </c>
      <c r="F55" t="s">
        <v>17</v>
      </c>
      <c r="H55" t="s">
        <v>13</v>
      </c>
      <c r="I55">
        <v>70814</v>
      </c>
      <c r="J55">
        <f>MONTH(Customer_payments[[#This Row],[Payment_Date]])</f>
        <v>1</v>
      </c>
    </row>
    <row r="56" spans="1:10" x14ac:dyDescent="0.3">
      <c r="A56">
        <v>3782</v>
      </c>
      <c r="B56" t="s">
        <v>69</v>
      </c>
      <c r="C56" t="s">
        <v>19</v>
      </c>
      <c r="D56">
        <v>26</v>
      </c>
      <c r="E56" t="s">
        <v>16</v>
      </c>
      <c r="F56" t="s">
        <v>17</v>
      </c>
      <c r="H56" t="s">
        <v>13</v>
      </c>
      <c r="I56">
        <v>69479</v>
      </c>
      <c r="J56">
        <f>MONTH(Customer_payments[[#This Row],[Payment_Date]])</f>
        <v>1</v>
      </c>
    </row>
    <row r="57" spans="1:10" x14ac:dyDescent="0.3">
      <c r="A57">
        <v>2216</v>
      </c>
      <c r="B57" t="s">
        <v>70</v>
      </c>
      <c r="C57" t="s">
        <v>19</v>
      </c>
      <c r="D57">
        <v>43</v>
      </c>
      <c r="E57" t="s">
        <v>16</v>
      </c>
      <c r="F57" t="s">
        <v>17</v>
      </c>
      <c r="H57" t="s">
        <v>13</v>
      </c>
      <c r="I57">
        <v>69417</v>
      </c>
      <c r="J57">
        <f>MONTH(Customer_payments[[#This Row],[Payment_Date]])</f>
        <v>1</v>
      </c>
    </row>
    <row r="58" spans="1:10" x14ac:dyDescent="0.3">
      <c r="A58">
        <v>114</v>
      </c>
      <c r="B58" t="s">
        <v>71</v>
      </c>
      <c r="C58" t="s">
        <v>10</v>
      </c>
      <c r="D58">
        <v>44</v>
      </c>
      <c r="E58" t="s">
        <v>11</v>
      </c>
      <c r="F58" t="s">
        <v>12</v>
      </c>
      <c r="G58" s="1">
        <v>33434</v>
      </c>
      <c r="H58" t="s">
        <v>13</v>
      </c>
      <c r="I58">
        <v>69113</v>
      </c>
      <c r="J58">
        <f>MONTH(Customer_payments[[#This Row],[Payment_Date]])</f>
        <v>7</v>
      </c>
    </row>
    <row r="59" spans="1:10" x14ac:dyDescent="0.3">
      <c r="A59">
        <v>8703</v>
      </c>
      <c r="B59" t="s">
        <v>72</v>
      </c>
      <c r="C59" t="s">
        <v>10</v>
      </c>
      <c r="D59">
        <v>28</v>
      </c>
      <c r="E59" t="s">
        <v>16</v>
      </c>
      <c r="F59" t="s">
        <v>17</v>
      </c>
      <c r="H59" t="s">
        <v>13</v>
      </c>
      <c r="I59">
        <v>68923</v>
      </c>
      <c r="J59">
        <f>MONTH(Customer_payments[[#This Row],[Payment_Date]])</f>
        <v>1</v>
      </c>
    </row>
    <row r="60" spans="1:10" x14ac:dyDescent="0.3">
      <c r="A60">
        <v>8737</v>
      </c>
      <c r="B60" t="s">
        <v>73</v>
      </c>
      <c r="C60" t="s">
        <v>19</v>
      </c>
      <c r="D60">
        <v>42</v>
      </c>
      <c r="E60" t="s">
        <v>11</v>
      </c>
      <c r="F60" t="s">
        <v>17</v>
      </c>
      <c r="H60" t="s">
        <v>13</v>
      </c>
      <c r="I60">
        <v>68886</v>
      </c>
      <c r="J60">
        <f>MONTH(Customer_payments[[#This Row],[Payment_Date]])</f>
        <v>1</v>
      </c>
    </row>
    <row r="61" spans="1:10" x14ac:dyDescent="0.3">
      <c r="A61">
        <v>6717</v>
      </c>
      <c r="B61" t="s">
        <v>74</v>
      </c>
      <c r="C61" t="s">
        <v>10</v>
      </c>
      <c r="D61">
        <v>52</v>
      </c>
      <c r="E61" t="s">
        <v>16</v>
      </c>
      <c r="F61" t="s">
        <v>12</v>
      </c>
      <c r="G61" s="1">
        <v>30253</v>
      </c>
      <c r="H61" t="s">
        <v>13</v>
      </c>
      <c r="I61">
        <v>68331</v>
      </c>
      <c r="J61">
        <f>MONTH(Customer_payments[[#This Row],[Payment_Date]])</f>
        <v>10</v>
      </c>
    </row>
    <row r="62" spans="1:10" x14ac:dyDescent="0.3">
      <c r="A62">
        <v>2972</v>
      </c>
      <c r="B62" t="s">
        <v>75</v>
      </c>
      <c r="C62" t="s">
        <v>15</v>
      </c>
      <c r="D62">
        <v>11</v>
      </c>
      <c r="E62" t="s">
        <v>16</v>
      </c>
      <c r="F62" t="s">
        <v>12</v>
      </c>
      <c r="G62" s="1">
        <v>28312</v>
      </c>
      <c r="H62" t="s">
        <v>13</v>
      </c>
      <c r="I62">
        <v>68227</v>
      </c>
      <c r="J62">
        <f>MONTH(Customer_payments[[#This Row],[Payment_Date]])</f>
        <v>7</v>
      </c>
    </row>
    <row r="63" spans="1:10" x14ac:dyDescent="0.3">
      <c r="A63">
        <v>2332</v>
      </c>
      <c r="B63" t="s">
        <v>76</v>
      </c>
      <c r="C63" t="s">
        <v>19</v>
      </c>
      <c r="D63">
        <v>17</v>
      </c>
      <c r="E63" t="s">
        <v>16</v>
      </c>
      <c r="F63" t="s">
        <v>17</v>
      </c>
      <c r="H63" t="s">
        <v>13</v>
      </c>
      <c r="I63">
        <v>67599</v>
      </c>
      <c r="J63">
        <f>MONTH(Customer_payments[[#This Row],[Payment_Date]])</f>
        <v>1</v>
      </c>
    </row>
    <row r="64" spans="1:10" x14ac:dyDescent="0.3">
      <c r="A64">
        <v>3095</v>
      </c>
      <c r="B64" t="s">
        <v>77</v>
      </c>
      <c r="C64" t="s">
        <v>19</v>
      </c>
      <c r="D64">
        <v>54</v>
      </c>
      <c r="E64" t="s">
        <v>16</v>
      </c>
      <c r="F64" t="s">
        <v>17</v>
      </c>
      <c r="H64" t="s">
        <v>13</v>
      </c>
      <c r="I64">
        <v>67478</v>
      </c>
      <c r="J64">
        <f>MONTH(Customer_payments[[#This Row],[Payment_Date]])</f>
        <v>1</v>
      </c>
    </row>
    <row r="65" spans="1:10" x14ac:dyDescent="0.3">
      <c r="A65">
        <v>6210</v>
      </c>
      <c r="B65" t="s">
        <v>78</v>
      </c>
      <c r="C65" t="s">
        <v>19</v>
      </c>
      <c r="D65">
        <v>16</v>
      </c>
      <c r="E65" t="s">
        <v>11</v>
      </c>
      <c r="F65" t="s">
        <v>12</v>
      </c>
      <c r="G65" s="1">
        <v>33422</v>
      </c>
      <c r="H65" t="s">
        <v>13</v>
      </c>
      <c r="I65">
        <v>67123</v>
      </c>
      <c r="J65">
        <f>MONTH(Customer_payments[[#This Row],[Payment_Date]])</f>
        <v>7</v>
      </c>
    </row>
    <row r="66" spans="1:10" x14ac:dyDescent="0.3">
      <c r="A66">
        <v>9030</v>
      </c>
      <c r="B66" t="s">
        <v>79</v>
      </c>
      <c r="C66" t="s">
        <v>10</v>
      </c>
      <c r="D66">
        <v>28</v>
      </c>
      <c r="E66" t="s">
        <v>16</v>
      </c>
      <c r="F66" t="s">
        <v>17</v>
      </c>
      <c r="H66" t="s">
        <v>13</v>
      </c>
      <c r="I66">
        <v>66582</v>
      </c>
      <c r="J66">
        <f>MONTH(Customer_payments[[#This Row],[Payment_Date]])</f>
        <v>1</v>
      </c>
    </row>
    <row r="67" spans="1:10" x14ac:dyDescent="0.3">
      <c r="A67">
        <v>3853</v>
      </c>
      <c r="B67" t="s">
        <v>32</v>
      </c>
      <c r="C67" t="s">
        <v>19</v>
      </c>
      <c r="D67">
        <v>15</v>
      </c>
      <c r="E67" t="s">
        <v>16</v>
      </c>
      <c r="F67" t="s">
        <v>17</v>
      </c>
      <c r="H67" t="s">
        <v>13</v>
      </c>
      <c r="I67">
        <v>66397</v>
      </c>
      <c r="J67">
        <f>MONTH(Customer_payments[[#This Row],[Payment_Date]])</f>
        <v>1</v>
      </c>
    </row>
    <row r="68" spans="1:10" x14ac:dyDescent="0.3">
      <c r="A68">
        <v>9807</v>
      </c>
      <c r="B68" t="s">
        <v>80</v>
      </c>
      <c r="C68" t="s">
        <v>19</v>
      </c>
      <c r="D68">
        <v>21</v>
      </c>
      <c r="E68" t="s">
        <v>16</v>
      </c>
      <c r="F68" t="s">
        <v>12</v>
      </c>
      <c r="G68" s="1">
        <v>37106</v>
      </c>
      <c r="H68" t="s">
        <v>13</v>
      </c>
      <c r="I68">
        <v>63810</v>
      </c>
      <c r="J68">
        <f>MONTH(Customer_payments[[#This Row],[Payment_Date]])</f>
        <v>8</v>
      </c>
    </row>
    <row r="69" spans="1:10" x14ac:dyDescent="0.3">
      <c r="A69">
        <v>7316</v>
      </c>
      <c r="B69" t="s">
        <v>81</v>
      </c>
      <c r="C69" t="s">
        <v>19</v>
      </c>
      <c r="D69">
        <v>50</v>
      </c>
      <c r="E69" t="s">
        <v>11</v>
      </c>
      <c r="F69" t="s">
        <v>17</v>
      </c>
      <c r="H69" t="s">
        <v>13</v>
      </c>
      <c r="I69">
        <v>62912</v>
      </c>
      <c r="J69">
        <f>MONTH(Customer_payments[[#This Row],[Payment_Date]])</f>
        <v>1</v>
      </c>
    </row>
    <row r="70" spans="1:10" x14ac:dyDescent="0.3">
      <c r="A70">
        <v>2220</v>
      </c>
      <c r="B70" t="s">
        <v>82</v>
      </c>
      <c r="C70" t="s">
        <v>15</v>
      </c>
      <c r="D70">
        <v>25</v>
      </c>
      <c r="E70" t="s">
        <v>11</v>
      </c>
      <c r="F70" t="s">
        <v>12</v>
      </c>
      <c r="G70" s="1">
        <v>27941</v>
      </c>
      <c r="H70" t="s">
        <v>13</v>
      </c>
      <c r="I70">
        <v>62528</v>
      </c>
      <c r="J70">
        <f>MONTH(Customer_payments[[#This Row],[Payment_Date]])</f>
        <v>6</v>
      </c>
    </row>
    <row r="71" spans="1:10" x14ac:dyDescent="0.3">
      <c r="A71">
        <v>359</v>
      </c>
      <c r="B71" t="s">
        <v>83</v>
      </c>
      <c r="C71" t="s">
        <v>10</v>
      </c>
      <c r="D71">
        <v>40</v>
      </c>
      <c r="E71" t="s">
        <v>11</v>
      </c>
      <c r="F71" t="s">
        <v>17</v>
      </c>
      <c r="H71" t="s">
        <v>13</v>
      </c>
      <c r="I71">
        <v>62151</v>
      </c>
      <c r="J71">
        <f>MONTH(Customer_payments[[#This Row],[Payment_Date]])</f>
        <v>1</v>
      </c>
    </row>
    <row r="72" spans="1:10" x14ac:dyDescent="0.3">
      <c r="A72">
        <v>1647</v>
      </c>
      <c r="B72" t="s">
        <v>84</v>
      </c>
      <c r="C72" t="s">
        <v>10</v>
      </c>
      <c r="D72">
        <v>34</v>
      </c>
      <c r="E72" t="s">
        <v>16</v>
      </c>
      <c r="F72" t="s">
        <v>12</v>
      </c>
      <c r="G72" s="1">
        <v>36607</v>
      </c>
      <c r="H72" t="s">
        <v>13</v>
      </c>
      <c r="I72">
        <v>61325</v>
      </c>
      <c r="J72">
        <f>MONTH(Customer_payments[[#This Row],[Payment_Date]])</f>
        <v>3</v>
      </c>
    </row>
    <row r="73" spans="1:10" x14ac:dyDescent="0.3">
      <c r="A73">
        <v>4233</v>
      </c>
      <c r="B73" t="s">
        <v>85</v>
      </c>
      <c r="C73" t="s">
        <v>10</v>
      </c>
      <c r="D73">
        <v>51</v>
      </c>
      <c r="E73" t="s">
        <v>16</v>
      </c>
      <c r="F73" t="s">
        <v>12</v>
      </c>
      <c r="G73" s="1">
        <v>31998</v>
      </c>
      <c r="H73" t="s">
        <v>13</v>
      </c>
      <c r="I73">
        <v>60282</v>
      </c>
      <c r="J73">
        <f>MONTH(Customer_payments[[#This Row],[Payment_Date]])</f>
        <v>8</v>
      </c>
    </row>
    <row r="74" spans="1:10" x14ac:dyDescent="0.3">
      <c r="A74">
        <v>3221</v>
      </c>
      <c r="B74" t="s">
        <v>86</v>
      </c>
      <c r="C74" t="s">
        <v>19</v>
      </c>
      <c r="D74">
        <v>24</v>
      </c>
      <c r="E74" t="s">
        <v>16</v>
      </c>
      <c r="F74" t="s">
        <v>17</v>
      </c>
      <c r="H74" t="s">
        <v>13</v>
      </c>
      <c r="I74">
        <v>59967</v>
      </c>
      <c r="J74">
        <f>MONTH(Customer_payments[[#This Row],[Payment_Date]])</f>
        <v>1</v>
      </c>
    </row>
    <row r="75" spans="1:10" x14ac:dyDescent="0.3">
      <c r="A75">
        <v>3514</v>
      </c>
      <c r="B75" t="s">
        <v>87</v>
      </c>
      <c r="C75" t="s">
        <v>15</v>
      </c>
      <c r="D75">
        <v>40</v>
      </c>
      <c r="E75" t="s">
        <v>11</v>
      </c>
      <c r="F75" t="s">
        <v>12</v>
      </c>
      <c r="G75" s="1">
        <v>38255</v>
      </c>
      <c r="H75" t="s">
        <v>13</v>
      </c>
      <c r="I75">
        <v>59651</v>
      </c>
      <c r="J75">
        <f>MONTH(Customer_payments[[#This Row],[Payment_Date]])</f>
        <v>9</v>
      </c>
    </row>
    <row r="76" spans="1:10" x14ac:dyDescent="0.3">
      <c r="A76">
        <v>5197</v>
      </c>
      <c r="B76" t="s">
        <v>88</v>
      </c>
      <c r="C76" t="s">
        <v>10</v>
      </c>
      <c r="D76">
        <v>31</v>
      </c>
      <c r="E76" t="s">
        <v>11</v>
      </c>
      <c r="F76" t="s">
        <v>12</v>
      </c>
      <c r="G76" s="1">
        <v>40925</v>
      </c>
      <c r="H76" t="s">
        <v>13</v>
      </c>
      <c r="I76">
        <v>59474</v>
      </c>
      <c r="J76">
        <f>MONTH(Customer_payments[[#This Row],[Payment_Date]])</f>
        <v>1</v>
      </c>
    </row>
    <row r="77" spans="1:10" x14ac:dyDescent="0.3">
      <c r="A77">
        <v>3132</v>
      </c>
      <c r="B77" t="s">
        <v>89</v>
      </c>
      <c r="C77" t="s">
        <v>19</v>
      </c>
      <c r="D77">
        <v>49</v>
      </c>
      <c r="E77" t="s">
        <v>11</v>
      </c>
      <c r="F77" t="s">
        <v>17</v>
      </c>
      <c r="H77" t="s">
        <v>13</v>
      </c>
      <c r="I77">
        <v>59376</v>
      </c>
      <c r="J77">
        <f>MONTH(Customer_payments[[#This Row],[Payment_Date]])</f>
        <v>1</v>
      </c>
    </row>
    <row r="78" spans="1:10" x14ac:dyDescent="0.3">
      <c r="A78">
        <v>2401</v>
      </c>
      <c r="B78" t="s">
        <v>90</v>
      </c>
      <c r="C78" t="s">
        <v>15</v>
      </c>
      <c r="D78">
        <v>54</v>
      </c>
      <c r="E78" t="s">
        <v>11</v>
      </c>
      <c r="F78" t="s">
        <v>12</v>
      </c>
      <c r="G78" s="1">
        <v>34700</v>
      </c>
      <c r="H78" t="s">
        <v>13</v>
      </c>
      <c r="I78">
        <v>59176</v>
      </c>
      <c r="J78">
        <f>MONTH(Customer_payments[[#This Row],[Payment_Date]])</f>
        <v>1</v>
      </c>
    </row>
    <row r="79" spans="1:10" x14ac:dyDescent="0.3">
      <c r="A79">
        <v>1246</v>
      </c>
      <c r="B79" t="s">
        <v>91</v>
      </c>
      <c r="C79" t="s">
        <v>19</v>
      </c>
      <c r="D79">
        <v>30</v>
      </c>
      <c r="E79" t="s">
        <v>11</v>
      </c>
      <c r="F79" t="s">
        <v>12</v>
      </c>
      <c r="G79" s="1">
        <v>43677</v>
      </c>
      <c r="H79" t="s">
        <v>13</v>
      </c>
      <c r="I79">
        <v>58736</v>
      </c>
      <c r="J79">
        <f>MONTH(Customer_payments[[#This Row],[Payment_Date]])</f>
        <v>7</v>
      </c>
    </row>
    <row r="80" spans="1:10" x14ac:dyDescent="0.3">
      <c r="A80">
        <v>8834</v>
      </c>
      <c r="B80" t="s">
        <v>68</v>
      </c>
      <c r="C80" t="s">
        <v>10</v>
      </c>
      <c r="D80">
        <v>38</v>
      </c>
      <c r="E80" t="s">
        <v>16</v>
      </c>
      <c r="F80" t="s">
        <v>17</v>
      </c>
      <c r="H80" t="s">
        <v>13</v>
      </c>
      <c r="I80">
        <v>58511</v>
      </c>
      <c r="J80">
        <f>MONTH(Customer_payments[[#This Row],[Payment_Date]])</f>
        <v>1</v>
      </c>
    </row>
    <row r="81" spans="1:10" x14ac:dyDescent="0.3">
      <c r="A81">
        <v>6732</v>
      </c>
      <c r="B81" t="s">
        <v>92</v>
      </c>
      <c r="C81" t="s">
        <v>10</v>
      </c>
      <c r="D81">
        <v>36</v>
      </c>
      <c r="E81" t="s">
        <v>11</v>
      </c>
      <c r="F81" t="s">
        <v>12</v>
      </c>
      <c r="G81" s="1">
        <v>32798</v>
      </c>
      <c r="H81" t="s">
        <v>13</v>
      </c>
      <c r="I81">
        <v>58470</v>
      </c>
      <c r="J81">
        <f>MONTH(Customer_payments[[#This Row],[Payment_Date]])</f>
        <v>10</v>
      </c>
    </row>
    <row r="82" spans="1:10" x14ac:dyDescent="0.3">
      <c r="A82">
        <v>1126</v>
      </c>
      <c r="B82" t="s">
        <v>93</v>
      </c>
      <c r="C82" t="s">
        <v>15</v>
      </c>
      <c r="D82">
        <v>24</v>
      </c>
      <c r="E82" t="s">
        <v>11</v>
      </c>
      <c r="F82" t="s">
        <v>12</v>
      </c>
      <c r="G82" s="1">
        <v>40239</v>
      </c>
      <c r="H82" t="s">
        <v>13</v>
      </c>
      <c r="I82">
        <v>57460</v>
      </c>
      <c r="J82">
        <f>MONTH(Customer_payments[[#This Row],[Payment_Date]])</f>
        <v>3</v>
      </c>
    </row>
    <row r="83" spans="1:10" x14ac:dyDescent="0.3">
      <c r="A83">
        <v>4142</v>
      </c>
      <c r="B83" t="s">
        <v>94</v>
      </c>
      <c r="C83" t="s">
        <v>19</v>
      </c>
      <c r="D83">
        <v>49</v>
      </c>
      <c r="E83" t="s">
        <v>11</v>
      </c>
      <c r="F83" t="s">
        <v>12</v>
      </c>
      <c r="G83" s="1">
        <v>32743</v>
      </c>
      <c r="H83" t="s">
        <v>13</v>
      </c>
      <c r="I83">
        <v>57138</v>
      </c>
      <c r="J83">
        <f>MONTH(Customer_payments[[#This Row],[Payment_Date]])</f>
        <v>8</v>
      </c>
    </row>
    <row r="84" spans="1:10" x14ac:dyDescent="0.3">
      <c r="A84">
        <v>7633</v>
      </c>
      <c r="B84" t="s">
        <v>95</v>
      </c>
      <c r="C84" t="s">
        <v>10</v>
      </c>
      <c r="D84">
        <v>40</v>
      </c>
      <c r="E84" t="s">
        <v>16</v>
      </c>
      <c r="F84" t="s">
        <v>12</v>
      </c>
      <c r="G84" s="1">
        <v>26238</v>
      </c>
      <c r="H84" t="s">
        <v>13</v>
      </c>
      <c r="I84">
        <v>56881</v>
      </c>
      <c r="J84">
        <f>MONTH(Customer_payments[[#This Row],[Payment_Date]])</f>
        <v>11</v>
      </c>
    </row>
    <row r="85" spans="1:10" x14ac:dyDescent="0.3">
      <c r="A85">
        <v>3633</v>
      </c>
      <c r="B85" t="s">
        <v>96</v>
      </c>
      <c r="C85" t="s">
        <v>10</v>
      </c>
      <c r="D85">
        <v>55</v>
      </c>
      <c r="E85" t="s">
        <v>11</v>
      </c>
      <c r="F85" t="s">
        <v>12</v>
      </c>
      <c r="G85" s="1">
        <v>37113</v>
      </c>
      <c r="H85" t="s">
        <v>13</v>
      </c>
      <c r="I85">
        <v>56148</v>
      </c>
      <c r="J85">
        <f>MONTH(Customer_payments[[#This Row],[Payment_Date]])</f>
        <v>8</v>
      </c>
    </row>
    <row r="86" spans="1:10" x14ac:dyDescent="0.3">
      <c r="A86">
        <v>4711</v>
      </c>
      <c r="B86" t="s">
        <v>97</v>
      </c>
      <c r="C86" t="s">
        <v>10</v>
      </c>
      <c r="D86">
        <v>28</v>
      </c>
      <c r="E86" t="s">
        <v>16</v>
      </c>
      <c r="F86" t="s">
        <v>17</v>
      </c>
      <c r="H86" t="s">
        <v>13</v>
      </c>
      <c r="I86">
        <v>53868</v>
      </c>
      <c r="J86">
        <f>MONTH(Customer_payments[[#This Row],[Payment_Date]])</f>
        <v>1</v>
      </c>
    </row>
    <row r="87" spans="1:10" x14ac:dyDescent="0.3">
      <c r="A87">
        <v>1201</v>
      </c>
      <c r="B87" t="s">
        <v>98</v>
      </c>
      <c r="C87" t="s">
        <v>10</v>
      </c>
      <c r="D87">
        <v>38</v>
      </c>
      <c r="E87" t="s">
        <v>11</v>
      </c>
      <c r="F87" t="s">
        <v>12</v>
      </c>
      <c r="G87" s="1">
        <v>30519</v>
      </c>
      <c r="H87" t="s">
        <v>13</v>
      </c>
      <c r="I87">
        <v>52868</v>
      </c>
      <c r="J87">
        <f>MONTH(Customer_payments[[#This Row],[Payment_Date]])</f>
        <v>7</v>
      </c>
    </row>
    <row r="88" spans="1:10" x14ac:dyDescent="0.3">
      <c r="A88">
        <v>8893</v>
      </c>
      <c r="B88" t="s">
        <v>99</v>
      </c>
      <c r="C88" t="s">
        <v>19</v>
      </c>
      <c r="D88">
        <v>34</v>
      </c>
      <c r="E88" t="s">
        <v>16</v>
      </c>
      <c r="F88" t="s">
        <v>17</v>
      </c>
      <c r="H88" t="s">
        <v>13</v>
      </c>
      <c r="I88">
        <v>52318</v>
      </c>
      <c r="J88">
        <f>MONTH(Customer_payments[[#This Row],[Payment_Date]])</f>
        <v>1</v>
      </c>
    </row>
    <row r="89" spans="1:10" x14ac:dyDescent="0.3">
      <c r="A89">
        <v>3733</v>
      </c>
      <c r="B89" t="s">
        <v>100</v>
      </c>
      <c r="C89" t="s">
        <v>10</v>
      </c>
      <c r="D89">
        <v>46</v>
      </c>
      <c r="E89" t="s">
        <v>16</v>
      </c>
      <c r="F89" t="s">
        <v>12</v>
      </c>
      <c r="G89" s="1">
        <v>27534</v>
      </c>
      <c r="H89" t="s">
        <v>13</v>
      </c>
      <c r="I89">
        <v>51472</v>
      </c>
      <c r="J89">
        <f>MONTH(Customer_payments[[#This Row],[Payment_Date]])</f>
        <v>5</v>
      </c>
    </row>
    <row r="90" spans="1:10" x14ac:dyDescent="0.3">
      <c r="A90">
        <v>9968</v>
      </c>
      <c r="B90" t="s">
        <v>101</v>
      </c>
      <c r="C90" t="s">
        <v>19</v>
      </c>
      <c r="D90">
        <v>51</v>
      </c>
      <c r="E90" t="s">
        <v>16</v>
      </c>
      <c r="F90" t="s">
        <v>17</v>
      </c>
      <c r="H90" t="s">
        <v>13</v>
      </c>
      <c r="I90">
        <v>51284</v>
      </c>
      <c r="J90">
        <f>MONTH(Customer_payments[[#This Row],[Payment_Date]])</f>
        <v>1</v>
      </c>
    </row>
    <row r="91" spans="1:10" x14ac:dyDescent="0.3">
      <c r="A91">
        <v>5781</v>
      </c>
      <c r="B91" t="s">
        <v>102</v>
      </c>
      <c r="C91" t="s">
        <v>19</v>
      </c>
      <c r="D91">
        <v>13</v>
      </c>
      <c r="E91" t="s">
        <v>11</v>
      </c>
      <c r="F91" t="s">
        <v>17</v>
      </c>
      <c r="H91" t="s">
        <v>13</v>
      </c>
      <c r="I91">
        <v>51104</v>
      </c>
      <c r="J91">
        <f>MONTH(Customer_payments[[#This Row],[Payment_Date]])</f>
        <v>1</v>
      </c>
    </row>
    <row r="92" spans="1:10" x14ac:dyDescent="0.3">
      <c r="A92">
        <v>7771</v>
      </c>
      <c r="B92" t="s">
        <v>103</v>
      </c>
      <c r="C92" t="s">
        <v>19</v>
      </c>
      <c r="D92">
        <v>24</v>
      </c>
      <c r="E92" t="s">
        <v>11</v>
      </c>
      <c r="F92" t="s">
        <v>17</v>
      </c>
      <c r="H92" t="s">
        <v>13</v>
      </c>
      <c r="I92">
        <v>51038</v>
      </c>
      <c r="J92">
        <f>MONTH(Customer_payments[[#This Row],[Payment_Date]])</f>
        <v>1</v>
      </c>
    </row>
    <row r="93" spans="1:10" x14ac:dyDescent="0.3">
      <c r="A93">
        <v>4523</v>
      </c>
      <c r="B93" t="s">
        <v>71</v>
      </c>
      <c r="C93" t="s">
        <v>15</v>
      </c>
      <c r="D93">
        <v>11</v>
      </c>
      <c r="E93" t="s">
        <v>16</v>
      </c>
      <c r="F93" t="s">
        <v>17</v>
      </c>
      <c r="H93" t="s">
        <v>13</v>
      </c>
      <c r="I93">
        <v>50958</v>
      </c>
      <c r="J93">
        <f>MONTH(Customer_payments[[#This Row],[Payment_Date]])</f>
        <v>1</v>
      </c>
    </row>
    <row r="94" spans="1:10" x14ac:dyDescent="0.3">
      <c r="A94">
        <v>6191</v>
      </c>
      <c r="B94" t="s">
        <v>104</v>
      </c>
      <c r="C94" t="s">
        <v>19</v>
      </c>
      <c r="D94">
        <v>45</v>
      </c>
      <c r="E94" t="s">
        <v>11</v>
      </c>
      <c r="F94" t="s">
        <v>17</v>
      </c>
      <c r="H94" t="s">
        <v>13</v>
      </c>
      <c r="I94">
        <v>50635</v>
      </c>
      <c r="J94">
        <f>MONTH(Customer_payments[[#This Row],[Payment_Date]])</f>
        <v>1</v>
      </c>
    </row>
    <row r="95" spans="1:10" x14ac:dyDescent="0.3">
      <c r="A95">
        <v>8786</v>
      </c>
      <c r="B95" t="s">
        <v>105</v>
      </c>
      <c r="C95" t="s">
        <v>10</v>
      </c>
      <c r="D95">
        <v>9</v>
      </c>
      <c r="E95" t="s">
        <v>16</v>
      </c>
      <c r="F95" t="s">
        <v>17</v>
      </c>
      <c r="H95" t="s">
        <v>13</v>
      </c>
      <c r="I95">
        <v>50374</v>
      </c>
      <c r="J95">
        <f>MONTH(Customer_payments[[#This Row],[Payment_Date]])</f>
        <v>1</v>
      </c>
    </row>
    <row r="96" spans="1:10" x14ac:dyDescent="0.3">
      <c r="A96">
        <v>5402</v>
      </c>
      <c r="B96" t="s">
        <v>87</v>
      </c>
      <c r="C96" t="s">
        <v>19</v>
      </c>
      <c r="D96">
        <v>9</v>
      </c>
      <c r="E96" t="s">
        <v>11</v>
      </c>
      <c r="F96" t="s">
        <v>17</v>
      </c>
      <c r="H96" t="s">
        <v>13</v>
      </c>
      <c r="I96">
        <v>50357</v>
      </c>
      <c r="J96">
        <f>MONTH(Customer_payments[[#This Row],[Payment_Date]])</f>
        <v>1</v>
      </c>
    </row>
    <row r="97" spans="1:10" x14ac:dyDescent="0.3">
      <c r="A97">
        <v>2969</v>
      </c>
      <c r="B97" t="s">
        <v>106</v>
      </c>
      <c r="C97" t="s">
        <v>19</v>
      </c>
      <c r="D97">
        <v>13</v>
      </c>
      <c r="E97" t="s">
        <v>16</v>
      </c>
      <c r="F97" t="s">
        <v>17</v>
      </c>
      <c r="H97" t="s">
        <v>13</v>
      </c>
      <c r="I97">
        <v>49908</v>
      </c>
      <c r="J97">
        <f>MONTH(Customer_payments[[#This Row],[Payment_Date]])</f>
        <v>1</v>
      </c>
    </row>
    <row r="98" spans="1:10" x14ac:dyDescent="0.3">
      <c r="A98">
        <v>230</v>
      </c>
      <c r="B98" t="s">
        <v>107</v>
      </c>
      <c r="C98" t="s">
        <v>10</v>
      </c>
      <c r="D98">
        <v>47</v>
      </c>
      <c r="E98" t="s">
        <v>16</v>
      </c>
      <c r="F98" t="s">
        <v>12</v>
      </c>
      <c r="G98" s="1">
        <v>41991</v>
      </c>
      <c r="H98" t="s">
        <v>13</v>
      </c>
      <c r="I98">
        <v>49302</v>
      </c>
      <c r="J98">
        <f>MONTH(Customer_payments[[#This Row],[Payment_Date]])</f>
        <v>12</v>
      </c>
    </row>
    <row r="99" spans="1:10" x14ac:dyDescent="0.3">
      <c r="A99">
        <v>6759</v>
      </c>
      <c r="B99" t="s">
        <v>104</v>
      </c>
      <c r="C99" t="s">
        <v>10</v>
      </c>
      <c r="D99">
        <v>54</v>
      </c>
      <c r="E99" t="s">
        <v>16</v>
      </c>
      <c r="F99" t="s">
        <v>17</v>
      </c>
      <c r="H99" t="s">
        <v>13</v>
      </c>
      <c r="I99">
        <v>48873</v>
      </c>
      <c r="J99">
        <f>MONTH(Customer_payments[[#This Row],[Payment_Date]])</f>
        <v>1</v>
      </c>
    </row>
    <row r="100" spans="1:10" x14ac:dyDescent="0.3">
      <c r="A100">
        <v>3140</v>
      </c>
      <c r="B100" t="s">
        <v>108</v>
      </c>
      <c r="C100" t="s">
        <v>15</v>
      </c>
      <c r="D100">
        <v>22</v>
      </c>
      <c r="E100" t="s">
        <v>11</v>
      </c>
      <c r="F100" t="s">
        <v>12</v>
      </c>
      <c r="G100" s="1">
        <v>38286</v>
      </c>
      <c r="H100" t="s">
        <v>13</v>
      </c>
      <c r="I100">
        <v>48657</v>
      </c>
      <c r="J100">
        <f>MONTH(Customer_payments[[#This Row],[Payment_Date]])</f>
        <v>10</v>
      </c>
    </row>
    <row r="101" spans="1:10" x14ac:dyDescent="0.3">
      <c r="A101">
        <v>4852</v>
      </c>
      <c r="B101" t="s">
        <v>109</v>
      </c>
      <c r="C101" t="s">
        <v>10</v>
      </c>
      <c r="D101">
        <v>12</v>
      </c>
      <c r="E101" t="s">
        <v>16</v>
      </c>
      <c r="F101" t="s">
        <v>17</v>
      </c>
      <c r="H101" t="s">
        <v>13</v>
      </c>
      <c r="I101">
        <v>48315</v>
      </c>
      <c r="J101">
        <f>MONTH(Customer_payments[[#This Row],[Payment_Date]])</f>
        <v>1</v>
      </c>
    </row>
    <row r="102" spans="1:10" x14ac:dyDescent="0.3">
      <c r="A102">
        <v>3917</v>
      </c>
      <c r="B102" t="s">
        <v>110</v>
      </c>
      <c r="C102" t="s">
        <v>10</v>
      </c>
      <c r="D102">
        <v>47</v>
      </c>
      <c r="E102" t="s">
        <v>11</v>
      </c>
      <c r="F102" t="s">
        <v>12</v>
      </c>
      <c r="G102" s="1">
        <v>28437</v>
      </c>
      <c r="H102" t="s">
        <v>13</v>
      </c>
      <c r="I102">
        <v>47650</v>
      </c>
      <c r="J102">
        <f>MONTH(Customer_payments[[#This Row],[Payment_Date]])</f>
        <v>11</v>
      </c>
    </row>
    <row r="103" spans="1:10" x14ac:dyDescent="0.3">
      <c r="A103">
        <v>249</v>
      </c>
      <c r="B103" t="s">
        <v>14</v>
      </c>
      <c r="C103" t="s">
        <v>19</v>
      </c>
      <c r="D103">
        <v>16</v>
      </c>
      <c r="E103" t="s">
        <v>16</v>
      </c>
      <c r="F103" t="s">
        <v>12</v>
      </c>
      <c r="G103" s="1">
        <v>30018</v>
      </c>
      <c r="H103" t="s">
        <v>13</v>
      </c>
      <c r="I103">
        <v>47260</v>
      </c>
      <c r="J103">
        <f>MONTH(Customer_payments[[#This Row],[Payment_Date]])</f>
        <v>3</v>
      </c>
    </row>
    <row r="104" spans="1:10" x14ac:dyDescent="0.3">
      <c r="A104">
        <v>1896</v>
      </c>
      <c r="B104" t="s">
        <v>111</v>
      </c>
      <c r="C104" t="s">
        <v>19</v>
      </c>
      <c r="D104">
        <v>49</v>
      </c>
      <c r="E104" t="s">
        <v>11</v>
      </c>
      <c r="F104" t="s">
        <v>17</v>
      </c>
      <c r="H104" t="s">
        <v>13</v>
      </c>
      <c r="I104">
        <v>47111</v>
      </c>
      <c r="J104">
        <f>MONTH(Customer_payments[[#This Row],[Payment_Date]])</f>
        <v>1</v>
      </c>
    </row>
    <row r="105" spans="1:10" x14ac:dyDescent="0.3">
      <c r="A105">
        <v>1087</v>
      </c>
      <c r="B105" t="s">
        <v>112</v>
      </c>
      <c r="C105" t="s">
        <v>15</v>
      </c>
      <c r="D105">
        <v>18</v>
      </c>
      <c r="E105" t="s">
        <v>11</v>
      </c>
      <c r="F105" t="s">
        <v>12</v>
      </c>
      <c r="G105" s="1">
        <v>43342</v>
      </c>
      <c r="H105" t="s">
        <v>13</v>
      </c>
      <c r="I105">
        <v>45852</v>
      </c>
      <c r="J105">
        <f>MONTH(Customer_payments[[#This Row],[Payment_Date]])</f>
        <v>8</v>
      </c>
    </row>
    <row r="106" spans="1:10" x14ac:dyDescent="0.3">
      <c r="A106">
        <v>2620</v>
      </c>
      <c r="B106" t="s">
        <v>41</v>
      </c>
      <c r="C106" t="s">
        <v>19</v>
      </c>
      <c r="D106">
        <v>20</v>
      </c>
      <c r="E106" t="s">
        <v>11</v>
      </c>
      <c r="F106" t="s">
        <v>17</v>
      </c>
      <c r="H106" t="s">
        <v>13</v>
      </c>
      <c r="I106">
        <v>45432</v>
      </c>
      <c r="J106">
        <f>MONTH(Customer_payments[[#This Row],[Payment_Date]])</f>
        <v>1</v>
      </c>
    </row>
    <row r="107" spans="1:10" x14ac:dyDescent="0.3">
      <c r="A107">
        <v>2142</v>
      </c>
      <c r="B107" t="s">
        <v>113</v>
      </c>
      <c r="C107" t="s">
        <v>10</v>
      </c>
      <c r="D107">
        <v>53</v>
      </c>
      <c r="E107" t="s">
        <v>16</v>
      </c>
      <c r="F107" t="s">
        <v>12</v>
      </c>
      <c r="G107" s="1">
        <v>37549</v>
      </c>
      <c r="H107" t="s">
        <v>13</v>
      </c>
      <c r="I107">
        <v>44807</v>
      </c>
      <c r="J107">
        <f>MONTH(Customer_payments[[#This Row],[Payment_Date]])</f>
        <v>10</v>
      </c>
    </row>
    <row r="108" spans="1:10" x14ac:dyDescent="0.3">
      <c r="A108">
        <v>9784</v>
      </c>
      <c r="B108" t="s">
        <v>114</v>
      </c>
      <c r="C108" t="s">
        <v>10</v>
      </c>
      <c r="D108">
        <v>20</v>
      </c>
      <c r="E108" t="s">
        <v>11</v>
      </c>
      <c r="F108" t="s">
        <v>12</v>
      </c>
      <c r="G108" s="1">
        <v>41446</v>
      </c>
      <c r="H108" t="s">
        <v>13</v>
      </c>
      <c r="I108">
        <v>44299</v>
      </c>
      <c r="J108">
        <f>MONTH(Customer_payments[[#This Row],[Payment_Date]])</f>
        <v>6</v>
      </c>
    </row>
    <row r="109" spans="1:10" x14ac:dyDescent="0.3">
      <c r="A109">
        <v>7861</v>
      </c>
      <c r="B109" t="s">
        <v>115</v>
      </c>
      <c r="C109" t="s">
        <v>15</v>
      </c>
      <c r="D109">
        <v>20</v>
      </c>
      <c r="E109" t="s">
        <v>11</v>
      </c>
      <c r="F109" t="s">
        <v>12</v>
      </c>
      <c r="G109" s="1">
        <v>39585</v>
      </c>
      <c r="H109" t="s">
        <v>13</v>
      </c>
      <c r="I109">
        <v>42257</v>
      </c>
      <c r="J109">
        <f>MONTH(Customer_payments[[#This Row],[Payment_Date]])</f>
        <v>5</v>
      </c>
    </row>
    <row r="110" spans="1:10" x14ac:dyDescent="0.3">
      <c r="A110">
        <v>9636</v>
      </c>
      <c r="B110" t="s">
        <v>116</v>
      </c>
      <c r="C110" t="s">
        <v>15</v>
      </c>
      <c r="D110">
        <v>32</v>
      </c>
      <c r="E110" t="s">
        <v>16</v>
      </c>
      <c r="F110" t="s">
        <v>17</v>
      </c>
      <c r="H110" t="s">
        <v>13</v>
      </c>
      <c r="I110">
        <v>42210</v>
      </c>
      <c r="J110">
        <f>MONTH(Customer_payments[[#This Row],[Payment_Date]])</f>
        <v>1</v>
      </c>
    </row>
    <row r="111" spans="1:10" x14ac:dyDescent="0.3">
      <c r="A111">
        <v>2378</v>
      </c>
      <c r="B111" t="s">
        <v>117</v>
      </c>
      <c r="C111" t="s">
        <v>10</v>
      </c>
      <c r="D111">
        <v>38</v>
      </c>
      <c r="E111" t="s">
        <v>16</v>
      </c>
      <c r="F111" t="s">
        <v>12</v>
      </c>
      <c r="G111" s="1">
        <v>26466</v>
      </c>
      <c r="H111" t="s">
        <v>13</v>
      </c>
      <c r="I111">
        <v>42143</v>
      </c>
      <c r="J111">
        <f>MONTH(Customer_payments[[#This Row],[Payment_Date]])</f>
        <v>6</v>
      </c>
    </row>
    <row r="112" spans="1:10" x14ac:dyDescent="0.3">
      <c r="A112">
        <v>2104</v>
      </c>
      <c r="B112" t="s">
        <v>118</v>
      </c>
      <c r="C112" t="s">
        <v>15</v>
      </c>
      <c r="D112">
        <v>32</v>
      </c>
      <c r="E112" t="s">
        <v>16</v>
      </c>
      <c r="F112" t="s">
        <v>12</v>
      </c>
      <c r="G112" s="1">
        <v>33965</v>
      </c>
      <c r="H112" t="s">
        <v>13</v>
      </c>
      <c r="I112">
        <v>41456</v>
      </c>
      <c r="J112">
        <f>MONTH(Customer_payments[[#This Row],[Payment_Date]])</f>
        <v>12</v>
      </c>
    </row>
    <row r="113" spans="1:10" x14ac:dyDescent="0.3">
      <c r="A113">
        <v>1202</v>
      </c>
      <c r="B113" t="s">
        <v>22</v>
      </c>
      <c r="C113" t="s">
        <v>10</v>
      </c>
      <c r="D113">
        <v>19</v>
      </c>
      <c r="E113" t="s">
        <v>16</v>
      </c>
      <c r="F113" t="s">
        <v>17</v>
      </c>
      <c r="H113" t="s">
        <v>13</v>
      </c>
      <c r="I113">
        <v>41003</v>
      </c>
      <c r="J113">
        <f>MONTH(Customer_payments[[#This Row],[Payment_Date]])</f>
        <v>1</v>
      </c>
    </row>
    <row r="114" spans="1:10" x14ac:dyDescent="0.3">
      <c r="A114">
        <v>1904</v>
      </c>
      <c r="B114" t="s">
        <v>119</v>
      </c>
      <c r="C114" t="s">
        <v>10</v>
      </c>
      <c r="D114">
        <v>32</v>
      </c>
      <c r="E114" t="s">
        <v>11</v>
      </c>
      <c r="F114" t="s">
        <v>17</v>
      </c>
      <c r="H114" t="s">
        <v>13</v>
      </c>
      <c r="I114">
        <v>39655</v>
      </c>
      <c r="J114">
        <f>MONTH(Customer_payments[[#This Row],[Payment_Date]])</f>
        <v>1</v>
      </c>
    </row>
    <row r="115" spans="1:10" x14ac:dyDescent="0.3">
      <c r="A115">
        <v>1702</v>
      </c>
      <c r="B115" t="s">
        <v>120</v>
      </c>
      <c r="C115" t="s">
        <v>15</v>
      </c>
      <c r="D115">
        <v>16</v>
      </c>
      <c r="E115" t="s">
        <v>11</v>
      </c>
      <c r="F115" t="s">
        <v>17</v>
      </c>
      <c r="H115" t="s">
        <v>13</v>
      </c>
      <c r="I115">
        <v>39488</v>
      </c>
      <c r="J115">
        <f>MONTH(Customer_payments[[#This Row],[Payment_Date]])</f>
        <v>1</v>
      </c>
    </row>
    <row r="116" spans="1:10" x14ac:dyDescent="0.3">
      <c r="A116">
        <v>5387</v>
      </c>
      <c r="B116" t="s">
        <v>121</v>
      </c>
      <c r="C116" t="s">
        <v>19</v>
      </c>
      <c r="D116">
        <v>52</v>
      </c>
      <c r="E116" t="s">
        <v>11</v>
      </c>
      <c r="F116" t="s">
        <v>12</v>
      </c>
      <c r="G116" s="1">
        <v>38610</v>
      </c>
      <c r="H116" t="s">
        <v>13</v>
      </c>
      <c r="I116">
        <v>39432</v>
      </c>
      <c r="J116">
        <f>MONTH(Customer_payments[[#This Row],[Payment_Date]])</f>
        <v>9</v>
      </c>
    </row>
    <row r="117" spans="1:10" x14ac:dyDescent="0.3">
      <c r="A117">
        <v>308</v>
      </c>
      <c r="B117" t="s">
        <v>122</v>
      </c>
      <c r="C117" t="s">
        <v>19</v>
      </c>
      <c r="D117">
        <v>28</v>
      </c>
      <c r="E117" t="s">
        <v>16</v>
      </c>
      <c r="F117" t="s">
        <v>12</v>
      </c>
      <c r="G117" s="1">
        <v>38915</v>
      </c>
      <c r="H117" t="s">
        <v>13</v>
      </c>
      <c r="I117">
        <v>39234</v>
      </c>
      <c r="J117">
        <f>MONTH(Customer_payments[[#This Row],[Payment_Date]])</f>
        <v>7</v>
      </c>
    </row>
    <row r="118" spans="1:10" x14ac:dyDescent="0.3">
      <c r="A118">
        <v>4272</v>
      </c>
      <c r="B118" t="s">
        <v>123</v>
      </c>
      <c r="C118" t="s">
        <v>19</v>
      </c>
      <c r="D118">
        <v>12</v>
      </c>
      <c r="E118" t="s">
        <v>11</v>
      </c>
      <c r="F118" t="s">
        <v>17</v>
      </c>
      <c r="H118" t="s">
        <v>13</v>
      </c>
      <c r="I118">
        <v>39001</v>
      </c>
      <c r="J118">
        <f>MONTH(Customer_payments[[#This Row],[Payment_Date]])</f>
        <v>1</v>
      </c>
    </row>
    <row r="119" spans="1:10" x14ac:dyDescent="0.3">
      <c r="A119">
        <v>5345</v>
      </c>
      <c r="B119" t="s">
        <v>124</v>
      </c>
      <c r="C119" t="s">
        <v>15</v>
      </c>
      <c r="D119">
        <v>29</v>
      </c>
      <c r="E119" t="s">
        <v>11</v>
      </c>
      <c r="F119" t="s">
        <v>12</v>
      </c>
      <c r="G119" s="1">
        <v>40418</v>
      </c>
      <c r="H119" t="s">
        <v>13</v>
      </c>
      <c r="I119">
        <v>38952</v>
      </c>
      <c r="J119">
        <f>MONTH(Customer_payments[[#This Row],[Payment_Date]])</f>
        <v>8</v>
      </c>
    </row>
    <row r="120" spans="1:10" x14ac:dyDescent="0.3">
      <c r="A120">
        <v>2121</v>
      </c>
      <c r="B120" t="s">
        <v>125</v>
      </c>
      <c r="C120" t="s">
        <v>15</v>
      </c>
      <c r="D120">
        <v>53</v>
      </c>
      <c r="E120" t="s">
        <v>11</v>
      </c>
      <c r="F120" t="s">
        <v>12</v>
      </c>
      <c r="G120" s="1">
        <v>29110</v>
      </c>
      <c r="H120" t="s">
        <v>13</v>
      </c>
      <c r="I120">
        <v>38290</v>
      </c>
      <c r="J120">
        <f>MONTH(Customer_payments[[#This Row],[Payment_Date]])</f>
        <v>9</v>
      </c>
    </row>
    <row r="121" spans="1:10" x14ac:dyDescent="0.3">
      <c r="A121">
        <v>1424</v>
      </c>
      <c r="B121" t="s">
        <v>126</v>
      </c>
      <c r="C121" t="s">
        <v>19</v>
      </c>
      <c r="D121">
        <v>42</v>
      </c>
      <c r="E121" t="s">
        <v>16</v>
      </c>
      <c r="F121" t="s">
        <v>17</v>
      </c>
      <c r="H121" t="s">
        <v>13</v>
      </c>
      <c r="I121">
        <v>37660</v>
      </c>
      <c r="J121">
        <f>MONTH(Customer_payments[[#This Row],[Payment_Date]])</f>
        <v>1</v>
      </c>
    </row>
    <row r="122" spans="1:10" x14ac:dyDescent="0.3">
      <c r="A122">
        <v>1724</v>
      </c>
      <c r="B122" t="s">
        <v>127</v>
      </c>
      <c r="C122" t="s">
        <v>10</v>
      </c>
      <c r="D122">
        <v>43</v>
      </c>
      <c r="E122" t="s">
        <v>16</v>
      </c>
      <c r="F122" t="s">
        <v>12</v>
      </c>
      <c r="G122" s="1">
        <v>38124</v>
      </c>
      <c r="H122" t="s">
        <v>13</v>
      </c>
      <c r="I122">
        <v>37286</v>
      </c>
      <c r="J122">
        <f>MONTH(Customer_payments[[#This Row],[Payment_Date]])</f>
        <v>5</v>
      </c>
    </row>
    <row r="123" spans="1:10" x14ac:dyDescent="0.3">
      <c r="A123">
        <v>4283</v>
      </c>
      <c r="B123" t="s">
        <v>128</v>
      </c>
      <c r="C123" t="s">
        <v>15</v>
      </c>
      <c r="D123">
        <v>29</v>
      </c>
      <c r="E123" t="s">
        <v>16</v>
      </c>
      <c r="F123" t="s">
        <v>17</v>
      </c>
      <c r="H123" t="s">
        <v>13</v>
      </c>
      <c r="I123">
        <v>36312</v>
      </c>
      <c r="J123">
        <f>MONTH(Customer_payments[[#This Row],[Payment_Date]])</f>
        <v>1</v>
      </c>
    </row>
    <row r="124" spans="1:10" x14ac:dyDescent="0.3">
      <c r="A124">
        <v>2241</v>
      </c>
      <c r="B124" t="s">
        <v>129</v>
      </c>
      <c r="C124" t="s">
        <v>10</v>
      </c>
      <c r="D124">
        <v>28</v>
      </c>
      <c r="E124" t="s">
        <v>11</v>
      </c>
      <c r="F124" t="s">
        <v>17</v>
      </c>
      <c r="H124" t="s">
        <v>13</v>
      </c>
      <c r="I124">
        <v>35634</v>
      </c>
      <c r="J124">
        <f>MONTH(Customer_payments[[#This Row],[Payment_Date]])</f>
        <v>1</v>
      </c>
    </row>
    <row r="125" spans="1:10" x14ac:dyDescent="0.3">
      <c r="A125">
        <v>6404</v>
      </c>
      <c r="B125" t="s">
        <v>9</v>
      </c>
      <c r="C125" t="s">
        <v>10</v>
      </c>
      <c r="D125">
        <v>31</v>
      </c>
      <c r="E125" t="s">
        <v>11</v>
      </c>
      <c r="F125" t="s">
        <v>17</v>
      </c>
      <c r="H125" t="s">
        <v>13</v>
      </c>
      <c r="I125">
        <v>35525</v>
      </c>
      <c r="J125">
        <f>MONTH(Customer_payments[[#This Row],[Payment_Date]])</f>
        <v>1</v>
      </c>
    </row>
    <row r="126" spans="1:10" x14ac:dyDescent="0.3">
      <c r="A126">
        <v>8306</v>
      </c>
      <c r="B126" t="s">
        <v>130</v>
      </c>
      <c r="C126" t="s">
        <v>19</v>
      </c>
      <c r="D126">
        <v>16</v>
      </c>
      <c r="E126" t="s">
        <v>16</v>
      </c>
      <c r="F126" t="s">
        <v>17</v>
      </c>
      <c r="H126" t="s">
        <v>13</v>
      </c>
      <c r="I126">
        <v>35369</v>
      </c>
      <c r="J126">
        <f>MONTH(Customer_payments[[#This Row],[Payment_Date]])</f>
        <v>1</v>
      </c>
    </row>
    <row r="127" spans="1:10" x14ac:dyDescent="0.3">
      <c r="A127">
        <v>8404</v>
      </c>
      <c r="B127" t="s">
        <v>131</v>
      </c>
      <c r="C127" t="s">
        <v>15</v>
      </c>
      <c r="D127">
        <v>13</v>
      </c>
      <c r="E127" t="s">
        <v>11</v>
      </c>
      <c r="F127" t="s">
        <v>17</v>
      </c>
      <c r="H127" t="s">
        <v>13</v>
      </c>
      <c r="I127">
        <v>35185</v>
      </c>
      <c r="J127">
        <f>MONTH(Customer_payments[[#This Row],[Payment_Date]])</f>
        <v>1</v>
      </c>
    </row>
    <row r="128" spans="1:10" x14ac:dyDescent="0.3">
      <c r="A128">
        <v>2037</v>
      </c>
      <c r="B128" t="s">
        <v>132</v>
      </c>
      <c r="C128" t="s">
        <v>15</v>
      </c>
      <c r="D128">
        <v>16</v>
      </c>
      <c r="E128" t="s">
        <v>11</v>
      </c>
      <c r="F128" t="s">
        <v>17</v>
      </c>
      <c r="H128" t="s">
        <v>13</v>
      </c>
      <c r="I128">
        <v>34832</v>
      </c>
      <c r="J128">
        <f>MONTH(Customer_payments[[#This Row],[Payment_Date]])</f>
        <v>1</v>
      </c>
    </row>
    <row r="129" spans="1:10" x14ac:dyDescent="0.3">
      <c r="A129">
        <v>7540</v>
      </c>
      <c r="B129" t="s">
        <v>133</v>
      </c>
      <c r="C129" t="s">
        <v>19</v>
      </c>
      <c r="D129">
        <v>18</v>
      </c>
      <c r="E129" t="s">
        <v>11</v>
      </c>
      <c r="F129" t="s">
        <v>12</v>
      </c>
      <c r="G129" s="1">
        <v>29296</v>
      </c>
      <c r="H129" t="s">
        <v>13</v>
      </c>
      <c r="I129">
        <v>34797</v>
      </c>
      <c r="J129">
        <f>MONTH(Customer_payments[[#This Row],[Payment_Date]])</f>
        <v>3</v>
      </c>
    </row>
    <row r="130" spans="1:10" x14ac:dyDescent="0.3">
      <c r="A130">
        <v>5150</v>
      </c>
      <c r="B130" t="s">
        <v>134</v>
      </c>
      <c r="C130" t="s">
        <v>15</v>
      </c>
      <c r="D130">
        <v>9</v>
      </c>
      <c r="E130" t="s">
        <v>16</v>
      </c>
      <c r="F130" t="s">
        <v>17</v>
      </c>
      <c r="H130" t="s">
        <v>13</v>
      </c>
      <c r="I130">
        <v>33435</v>
      </c>
      <c r="J130">
        <f>MONTH(Customer_payments[[#This Row],[Payment_Date]])</f>
        <v>1</v>
      </c>
    </row>
    <row r="131" spans="1:10" x14ac:dyDescent="0.3">
      <c r="A131">
        <v>310</v>
      </c>
      <c r="B131" t="s">
        <v>135</v>
      </c>
      <c r="C131" t="s">
        <v>10</v>
      </c>
      <c r="D131">
        <v>21</v>
      </c>
      <c r="E131" t="s">
        <v>11</v>
      </c>
      <c r="F131" t="s">
        <v>17</v>
      </c>
      <c r="H131" t="s">
        <v>13</v>
      </c>
      <c r="I131">
        <v>32800</v>
      </c>
      <c r="J131">
        <f>MONTH(Customer_payments[[#This Row],[Payment_Date]])</f>
        <v>1</v>
      </c>
    </row>
    <row r="132" spans="1:10" x14ac:dyDescent="0.3">
      <c r="A132">
        <v>1748</v>
      </c>
      <c r="B132" t="s">
        <v>50</v>
      </c>
      <c r="C132" t="s">
        <v>10</v>
      </c>
      <c r="D132">
        <v>13</v>
      </c>
      <c r="E132" t="s">
        <v>11</v>
      </c>
      <c r="F132" t="s">
        <v>12</v>
      </c>
      <c r="G132" s="1">
        <v>33909</v>
      </c>
      <c r="H132" t="s">
        <v>13</v>
      </c>
      <c r="I132">
        <v>32031</v>
      </c>
      <c r="J132">
        <f>MONTH(Customer_payments[[#This Row],[Payment_Date]])</f>
        <v>11</v>
      </c>
    </row>
    <row r="133" spans="1:10" x14ac:dyDescent="0.3">
      <c r="A133">
        <v>7773</v>
      </c>
      <c r="B133" t="s">
        <v>136</v>
      </c>
      <c r="C133" t="s">
        <v>10</v>
      </c>
      <c r="D133">
        <v>41</v>
      </c>
      <c r="E133" t="s">
        <v>11</v>
      </c>
      <c r="F133" t="s">
        <v>12</v>
      </c>
      <c r="G133" s="1">
        <v>31078</v>
      </c>
      <c r="H133" t="s">
        <v>13</v>
      </c>
      <c r="I133">
        <v>30239</v>
      </c>
      <c r="J133">
        <f>MONTH(Customer_payments[[#This Row],[Payment_Date]])</f>
        <v>1</v>
      </c>
    </row>
    <row r="134" spans="1:10" x14ac:dyDescent="0.3">
      <c r="A134">
        <v>1164</v>
      </c>
      <c r="B134" t="s">
        <v>137</v>
      </c>
      <c r="C134" t="s">
        <v>10</v>
      </c>
      <c r="D134">
        <v>43</v>
      </c>
      <c r="E134" t="s">
        <v>11</v>
      </c>
      <c r="F134" t="s">
        <v>12</v>
      </c>
      <c r="G134" s="1">
        <v>34433</v>
      </c>
      <c r="H134" t="s">
        <v>13</v>
      </c>
      <c r="I134">
        <v>30192</v>
      </c>
      <c r="J134">
        <f>MONTH(Customer_payments[[#This Row],[Payment_Date]])</f>
        <v>4</v>
      </c>
    </row>
    <row r="135" spans="1:10" x14ac:dyDescent="0.3">
      <c r="A135">
        <v>7764</v>
      </c>
      <c r="B135" t="s">
        <v>138</v>
      </c>
      <c r="C135" t="s">
        <v>15</v>
      </c>
      <c r="D135">
        <v>16</v>
      </c>
      <c r="E135" t="s">
        <v>11</v>
      </c>
      <c r="F135" t="s">
        <v>17</v>
      </c>
      <c r="H135" t="s">
        <v>13</v>
      </c>
      <c r="I135">
        <v>28987</v>
      </c>
      <c r="J135">
        <f>MONTH(Customer_payments[[#This Row],[Payment_Date]])</f>
        <v>1</v>
      </c>
    </row>
    <row r="136" spans="1:10" x14ac:dyDescent="0.3">
      <c r="A136">
        <v>896</v>
      </c>
      <c r="B136" t="s">
        <v>139</v>
      </c>
      <c r="C136" t="s">
        <v>10</v>
      </c>
      <c r="D136">
        <v>44</v>
      </c>
      <c r="E136" t="s">
        <v>16</v>
      </c>
      <c r="F136" t="s">
        <v>12</v>
      </c>
      <c r="G136" s="1">
        <v>41593</v>
      </c>
      <c r="H136" t="s">
        <v>13</v>
      </c>
      <c r="I136">
        <v>28701</v>
      </c>
      <c r="J136">
        <f>MONTH(Customer_payments[[#This Row],[Payment_Date]])</f>
        <v>11</v>
      </c>
    </row>
    <row r="137" spans="1:10" x14ac:dyDescent="0.3">
      <c r="A137">
        <v>5894</v>
      </c>
      <c r="B137" t="s">
        <v>140</v>
      </c>
      <c r="C137" t="s">
        <v>10</v>
      </c>
      <c r="D137">
        <v>13</v>
      </c>
      <c r="E137" t="s">
        <v>11</v>
      </c>
      <c r="F137" t="s">
        <v>17</v>
      </c>
      <c r="H137" t="s">
        <v>13</v>
      </c>
      <c r="I137">
        <v>27741</v>
      </c>
      <c r="J137">
        <f>MONTH(Customer_payments[[#This Row],[Payment_Date]])</f>
        <v>1</v>
      </c>
    </row>
    <row r="138" spans="1:10" x14ac:dyDescent="0.3">
      <c r="A138">
        <v>9645</v>
      </c>
      <c r="B138" t="s">
        <v>123</v>
      </c>
      <c r="C138" t="s">
        <v>15</v>
      </c>
      <c r="D138">
        <v>27</v>
      </c>
      <c r="E138" t="s">
        <v>16</v>
      </c>
      <c r="F138" t="s">
        <v>12</v>
      </c>
      <c r="G138" s="1">
        <v>38726</v>
      </c>
      <c r="H138" t="s">
        <v>13</v>
      </c>
      <c r="I138">
        <v>27590</v>
      </c>
      <c r="J138">
        <f>MONTH(Customer_payments[[#This Row],[Payment_Date]])</f>
        <v>1</v>
      </c>
    </row>
    <row r="139" spans="1:10" x14ac:dyDescent="0.3">
      <c r="A139">
        <v>1278</v>
      </c>
      <c r="B139" t="s">
        <v>141</v>
      </c>
      <c r="C139" t="s">
        <v>15</v>
      </c>
      <c r="D139">
        <v>49</v>
      </c>
      <c r="E139" t="s">
        <v>11</v>
      </c>
      <c r="F139" t="s">
        <v>12</v>
      </c>
      <c r="G139" s="1">
        <v>28437</v>
      </c>
      <c r="H139" t="s">
        <v>13</v>
      </c>
      <c r="I139">
        <v>27105</v>
      </c>
      <c r="J139">
        <f>MONTH(Customer_payments[[#This Row],[Payment_Date]])</f>
        <v>11</v>
      </c>
    </row>
    <row r="140" spans="1:10" x14ac:dyDescent="0.3">
      <c r="A140">
        <v>6546</v>
      </c>
      <c r="B140" t="s">
        <v>142</v>
      </c>
      <c r="C140" t="s">
        <v>15</v>
      </c>
      <c r="D140">
        <v>16</v>
      </c>
      <c r="E140" t="s">
        <v>11</v>
      </c>
      <c r="F140" t="s">
        <v>17</v>
      </c>
      <c r="H140" t="s">
        <v>13</v>
      </c>
      <c r="I140">
        <v>26060</v>
      </c>
      <c r="J140">
        <f>MONTH(Customer_payments[[#This Row],[Payment_Date]])</f>
        <v>1</v>
      </c>
    </row>
    <row r="141" spans="1:10" x14ac:dyDescent="0.3">
      <c r="A141">
        <v>3571</v>
      </c>
      <c r="B141" t="s">
        <v>87</v>
      </c>
      <c r="C141" t="s">
        <v>19</v>
      </c>
      <c r="D141">
        <v>41</v>
      </c>
      <c r="E141" t="s">
        <v>16</v>
      </c>
      <c r="F141" t="s">
        <v>17</v>
      </c>
      <c r="H141" t="s">
        <v>13</v>
      </c>
      <c r="I141">
        <v>25677</v>
      </c>
      <c r="J141">
        <f>MONTH(Customer_payments[[#This Row],[Payment_Date]])</f>
        <v>1</v>
      </c>
    </row>
    <row r="142" spans="1:10" x14ac:dyDescent="0.3">
      <c r="A142">
        <v>9486</v>
      </c>
      <c r="B142" t="s">
        <v>143</v>
      </c>
      <c r="C142" t="s">
        <v>15</v>
      </c>
      <c r="D142">
        <v>23</v>
      </c>
      <c r="E142" t="s">
        <v>16</v>
      </c>
      <c r="F142" t="s">
        <v>12</v>
      </c>
      <c r="G142" s="1">
        <v>37549</v>
      </c>
      <c r="H142" t="s">
        <v>13</v>
      </c>
      <c r="I142">
        <v>24856</v>
      </c>
      <c r="J142">
        <f>MONTH(Customer_payments[[#This Row],[Payment_Date]])</f>
        <v>10</v>
      </c>
    </row>
    <row r="143" spans="1:10" x14ac:dyDescent="0.3">
      <c r="A143">
        <v>2159</v>
      </c>
      <c r="B143" t="s">
        <v>144</v>
      </c>
      <c r="C143" t="s">
        <v>19</v>
      </c>
      <c r="D143">
        <v>10</v>
      </c>
      <c r="E143" t="s">
        <v>11</v>
      </c>
      <c r="F143" t="s">
        <v>12</v>
      </c>
      <c r="G143" s="1">
        <v>40719</v>
      </c>
      <c r="H143" t="s">
        <v>13</v>
      </c>
      <c r="I143">
        <v>24449</v>
      </c>
      <c r="J143">
        <f>MONTH(Customer_payments[[#This Row],[Payment_Date]])</f>
        <v>6</v>
      </c>
    </row>
    <row r="144" spans="1:10" x14ac:dyDescent="0.3">
      <c r="A144">
        <v>5578</v>
      </c>
      <c r="B144" t="s">
        <v>145</v>
      </c>
      <c r="C144" t="s">
        <v>15</v>
      </c>
      <c r="D144">
        <v>22</v>
      </c>
      <c r="E144" t="s">
        <v>16</v>
      </c>
      <c r="F144" t="s">
        <v>17</v>
      </c>
      <c r="H144" t="s">
        <v>13</v>
      </c>
      <c r="I144">
        <v>24053</v>
      </c>
      <c r="J144">
        <f>MONTH(Customer_payments[[#This Row],[Payment_Date]])</f>
        <v>1</v>
      </c>
    </row>
    <row r="145" spans="1:10" x14ac:dyDescent="0.3">
      <c r="A145">
        <v>5543</v>
      </c>
      <c r="B145" t="s">
        <v>146</v>
      </c>
      <c r="C145" t="s">
        <v>15</v>
      </c>
      <c r="D145">
        <v>55</v>
      </c>
      <c r="E145" t="s">
        <v>11</v>
      </c>
      <c r="F145" t="s">
        <v>17</v>
      </c>
      <c r="H145" t="s">
        <v>13</v>
      </c>
      <c r="I145">
        <v>23921</v>
      </c>
      <c r="J145">
        <f>MONTH(Customer_payments[[#This Row],[Payment_Date]])</f>
        <v>1</v>
      </c>
    </row>
    <row r="146" spans="1:10" x14ac:dyDescent="0.3">
      <c r="A146">
        <v>5330</v>
      </c>
      <c r="B146" t="s">
        <v>147</v>
      </c>
      <c r="C146" t="s">
        <v>19</v>
      </c>
      <c r="D146">
        <v>18</v>
      </c>
      <c r="E146" t="s">
        <v>16</v>
      </c>
      <c r="F146" t="s">
        <v>12</v>
      </c>
      <c r="G146" s="1">
        <v>40702</v>
      </c>
      <c r="H146" t="s">
        <v>13</v>
      </c>
      <c r="I146">
        <v>23055</v>
      </c>
      <c r="J146">
        <f>MONTH(Customer_payments[[#This Row],[Payment_Date]])</f>
        <v>6</v>
      </c>
    </row>
    <row r="147" spans="1:10" x14ac:dyDescent="0.3">
      <c r="A147">
        <v>8103</v>
      </c>
      <c r="B147" t="s">
        <v>20</v>
      </c>
      <c r="C147" t="s">
        <v>19</v>
      </c>
      <c r="D147">
        <v>47</v>
      </c>
      <c r="E147" t="s">
        <v>16</v>
      </c>
      <c r="F147" t="s">
        <v>12</v>
      </c>
      <c r="G147" s="1">
        <v>39275</v>
      </c>
      <c r="H147" t="s">
        <v>13</v>
      </c>
      <c r="I147">
        <v>23003</v>
      </c>
      <c r="J147">
        <f>MONTH(Customer_payments[[#This Row],[Payment_Date]])</f>
        <v>7</v>
      </c>
    </row>
    <row r="148" spans="1:10" x14ac:dyDescent="0.3">
      <c r="A148">
        <v>2525</v>
      </c>
      <c r="B148" t="s">
        <v>148</v>
      </c>
      <c r="C148" t="s">
        <v>10</v>
      </c>
      <c r="D148">
        <v>16</v>
      </c>
      <c r="E148" t="s">
        <v>16</v>
      </c>
      <c r="F148" t="s">
        <v>12</v>
      </c>
      <c r="G148" s="1">
        <v>33963</v>
      </c>
      <c r="H148" t="s">
        <v>13</v>
      </c>
      <c r="I148">
        <v>22261</v>
      </c>
      <c r="J148">
        <f>MONTH(Customer_payments[[#This Row],[Payment_Date]])</f>
        <v>12</v>
      </c>
    </row>
    <row r="149" spans="1:10" x14ac:dyDescent="0.3">
      <c r="A149">
        <v>2601</v>
      </c>
      <c r="B149" t="s">
        <v>149</v>
      </c>
      <c r="C149" t="s">
        <v>15</v>
      </c>
      <c r="D149">
        <v>44</v>
      </c>
      <c r="E149" t="s">
        <v>16</v>
      </c>
      <c r="F149" t="s">
        <v>17</v>
      </c>
      <c r="H149" t="s">
        <v>13</v>
      </c>
      <c r="I149">
        <v>22214</v>
      </c>
      <c r="J149">
        <f>MONTH(Customer_payments[[#This Row],[Payment_Date]])</f>
        <v>1</v>
      </c>
    </row>
    <row r="150" spans="1:10" x14ac:dyDescent="0.3">
      <c r="A150">
        <v>2208</v>
      </c>
      <c r="B150" t="s">
        <v>150</v>
      </c>
      <c r="C150" t="s">
        <v>19</v>
      </c>
      <c r="D150">
        <v>33</v>
      </c>
      <c r="E150" t="s">
        <v>16</v>
      </c>
      <c r="F150" t="s">
        <v>12</v>
      </c>
      <c r="G150" s="1">
        <v>41497</v>
      </c>
      <c r="H150" t="s">
        <v>13</v>
      </c>
      <c r="I150">
        <v>21972</v>
      </c>
      <c r="J150">
        <f>MONTH(Customer_payments[[#This Row],[Payment_Date]])</f>
        <v>8</v>
      </c>
    </row>
    <row r="151" spans="1:10" x14ac:dyDescent="0.3">
      <c r="A151">
        <v>6713</v>
      </c>
      <c r="B151" t="s">
        <v>151</v>
      </c>
      <c r="C151" t="s">
        <v>19</v>
      </c>
      <c r="D151">
        <v>22</v>
      </c>
      <c r="E151" t="s">
        <v>11</v>
      </c>
      <c r="F151" t="s">
        <v>17</v>
      </c>
      <c r="H151" t="s">
        <v>13</v>
      </c>
      <c r="I151">
        <v>21813</v>
      </c>
      <c r="J151">
        <f>MONTH(Customer_payments[[#This Row],[Payment_Date]])</f>
        <v>1</v>
      </c>
    </row>
    <row r="152" spans="1:10" x14ac:dyDescent="0.3">
      <c r="A152">
        <v>9943</v>
      </c>
      <c r="B152" t="s">
        <v>152</v>
      </c>
      <c r="C152" t="s">
        <v>10</v>
      </c>
      <c r="D152">
        <v>44</v>
      </c>
      <c r="E152" t="s">
        <v>11</v>
      </c>
      <c r="F152" t="s">
        <v>17</v>
      </c>
      <c r="H152" t="s">
        <v>13</v>
      </c>
      <c r="I152">
        <v>21639</v>
      </c>
      <c r="J152">
        <f>MONTH(Customer_payments[[#This Row],[Payment_Date]])</f>
        <v>1</v>
      </c>
    </row>
    <row r="153" spans="1:10" x14ac:dyDescent="0.3">
      <c r="A153">
        <v>4988</v>
      </c>
      <c r="B153" t="s">
        <v>153</v>
      </c>
      <c r="C153" t="s">
        <v>15</v>
      </c>
      <c r="D153">
        <v>14</v>
      </c>
      <c r="E153" t="s">
        <v>16</v>
      </c>
      <c r="F153" t="s">
        <v>17</v>
      </c>
      <c r="H153" t="s">
        <v>13</v>
      </c>
      <c r="I153">
        <v>21021</v>
      </c>
      <c r="J153">
        <f>MONTH(Customer_payments[[#This Row],[Payment_Date]])</f>
        <v>1</v>
      </c>
    </row>
    <row r="154" spans="1:10" x14ac:dyDescent="0.3">
      <c r="A154">
        <v>3172</v>
      </c>
      <c r="B154" t="s">
        <v>20</v>
      </c>
      <c r="C154" t="s">
        <v>10</v>
      </c>
      <c r="D154">
        <v>46</v>
      </c>
      <c r="E154" t="s">
        <v>16</v>
      </c>
      <c r="F154" t="s">
        <v>17</v>
      </c>
      <c r="H154" t="s">
        <v>13</v>
      </c>
      <c r="I154">
        <v>21003</v>
      </c>
      <c r="J154">
        <f>MONTH(Customer_payments[[#This Row],[Payment_Date]])</f>
        <v>1</v>
      </c>
    </row>
    <row r="155" spans="1:10" x14ac:dyDescent="0.3">
      <c r="A155">
        <v>4351</v>
      </c>
      <c r="B155" t="s">
        <v>141</v>
      </c>
      <c r="C155" t="s">
        <v>10</v>
      </c>
      <c r="D155">
        <v>12</v>
      </c>
      <c r="E155" t="s">
        <v>16</v>
      </c>
      <c r="F155" t="s">
        <v>17</v>
      </c>
      <c r="H155" t="s">
        <v>13</v>
      </c>
      <c r="I155">
        <v>20357</v>
      </c>
      <c r="J155">
        <f>MONTH(Customer_payments[[#This Row],[Payment_Date]])</f>
        <v>1</v>
      </c>
    </row>
    <row r="156" spans="1:10" x14ac:dyDescent="0.3">
      <c r="A156">
        <v>9251</v>
      </c>
      <c r="B156" t="s">
        <v>154</v>
      </c>
      <c r="C156" t="s">
        <v>19</v>
      </c>
      <c r="D156">
        <v>21</v>
      </c>
      <c r="E156" t="s">
        <v>11</v>
      </c>
      <c r="F156" t="s">
        <v>12</v>
      </c>
      <c r="G156" s="1">
        <v>28214</v>
      </c>
      <c r="H156" t="s">
        <v>13</v>
      </c>
      <c r="I156">
        <v>20238</v>
      </c>
      <c r="J156">
        <f>MONTH(Customer_payments[[#This Row],[Payment_Date]])</f>
        <v>3</v>
      </c>
    </row>
    <row r="157" spans="1:10" x14ac:dyDescent="0.3">
      <c r="A157">
        <v>6746</v>
      </c>
      <c r="B157" t="s">
        <v>155</v>
      </c>
      <c r="C157" t="s">
        <v>15</v>
      </c>
      <c r="D157">
        <v>50</v>
      </c>
      <c r="E157" t="s">
        <v>11</v>
      </c>
      <c r="F157" t="s">
        <v>12</v>
      </c>
      <c r="G157" s="1">
        <v>39010</v>
      </c>
      <c r="H157" t="s">
        <v>13</v>
      </c>
      <c r="I157">
        <v>20194</v>
      </c>
      <c r="J157">
        <f>MONTH(Customer_payments[[#This Row],[Payment_Date]])</f>
        <v>10</v>
      </c>
    </row>
    <row r="158" spans="1:10" x14ac:dyDescent="0.3">
      <c r="A158">
        <v>563</v>
      </c>
      <c r="B158" t="s">
        <v>156</v>
      </c>
      <c r="C158" t="s">
        <v>19</v>
      </c>
      <c r="D158">
        <v>51</v>
      </c>
      <c r="E158" t="s">
        <v>11</v>
      </c>
      <c r="F158" t="s">
        <v>17</v>
      </c>
      <c r="H158" t="s">
        <v>13</v>
      </c>
      <c r="I158">
        <v>20187</v>
      </c>
      <c r="J158">
        <f>MONTH(Customer_payments[[#This Row],[Payment_Date]])</f>
        <v>1</v>
      </c>
    </row>
    <row r="159" spans="1:10" x14ac:dyDescent="0.3">
      <c r="A159">
        <v>6357</v>
      </c>
      <c r="B159" t="s">
        <v>157</v>
      </c>
      <c r="C159" t="s">
        <v>19</v>
      </c>
      <c r="D159">
        <v>17</v>
      </c>
      <c r="E159" t="s">
        <v>11</v>
      </c>
      <c r="F159" t="s">
        <v>17</v>
      </c>
      <c r="H159" t="s">
        <v>13</v>
      </c>
      <c r="I159">
        <v>19804</v>
      </c>
      <c r="J159">
        <f>MONTH(Customer_payments[[#This Row],[Payment_Date]])</f>
        <v>1</v>
      </c>
    </row>
    <row r="160" spans="1:10" x14ac:dyDescent="0.3">
      <c r="A160">
        <v>9377</v>
      </c>
      <c r="B160" t="s">
        <v>158</v>
      </c>
      <c r="C160" t="s">
        <v>10</v>
      </c>
      <c r="D160">
        <v>23</v>
      </c>
      <c r="E160" t="s">
        <v>11</v>
      </c>
      <c r="F160" t="s">
        <v>17</v>
      </c>
      <c r="H160" t="s">
        <v>13</v>
      </c>
      <c r="I160">
        <v>19386</v>
      </c>
      <c r="J160">
        <f>MONTH(Customer_payments[[#This Row],[Payment_Date]])</f>
        <v>1</v>
      </c>
    </row>
    <row r="161" spans="1:10" x14ac:dyDescent="0.3">
      <c r="A161">
        <v>5269</v>
      </c>
      <c r="B161" t="s">
        <v>159</v>
      </c>
      <c r="C161" t="s">
        <v>19</v>
      </c>
      <c r="D161">
        <v>24</v>
      </c>
      <c r="E161" t="s">
        <v>11</v>
      </c>
      <c r="F161" t="s">
        <v>17</v>
      </c>
      <c r="H161" t="s">
        <v>13</v>
      </c>
      <c r="I161">
        <v>19346</v>
      </c>
      <c r="J161">
        <f>MONTH(Customer_payments[[#This Row],[Payment_Date]])</f>
        <v>1</v>
      </c>
    </row>
    <row r="162" spans="1:10" x14ac:dyDescent="0.3">
      <c r="A162">
        <v>9598</v>
      </c>
      <c r="B162" t="s">
        <v>32</v>
      </c>
      <c r="C162" t="s">
        <v>10</v>
      </c>
      <c r="D162">
        <v>42</v>
      </c>
      <c r="E162" t="s">
        <v>11</v>
      </c>
      <c r="F162" t="s">
        <v>12</v>
      </c>
      <c r="G162" s="1">
        <v>30239</v>
      </c>
      <c r="H162" t="s">
        <v>13</v>
      </c>
      <c r="I162">
        <v>18598</v>
      </c>
      <c r="J162">
        <f>MONTH(Customer_payments[[#This Row],[Payment_Date]])</f>
        <v>10</v>
      </c>
    </row>
    <row r="163" spans="1:10" x14ac:dyDescent="0.3">
      <c r="A163">
        <v>6798</v>
      </c>
      <c r="B163" t="s">
        <v>160</v>
      </c>
      <c r="C163" t="s">
        <v>10</v>
      </c>
      <c r="D163">
        <v>25</v>
      </c>
      <c r="E163" t="s">
        <v>16</v>
      </c>
      <c r="F163" t="s">
        <v>12</v>
      </c>
      <c r="G163" s="1">
        <v>32798</v>
      </c>
      <c r="H163" t="s">
        <v>13</v>
      </c>
      <c r="I163">
        <v>17651</v>
      </c>
      <c r="J163">
        <f>MONTH(Customer_payments[[#This Row],[Payment_Date]])</f>
        <v>10</v>
      </c>
    </row>
    <row r="164" spans="1:10" x14ac:dyDescent="0.3">
      <c r="A164">
        <v>9934</v>
      </c>
      <c r="B164" t="s">
        <v>161</v>
      </c>
      <c r="C164" t="s">
        <v>19</v>
      </c>
      <c r="D164">
        <v>32</v>
      </c>
      <c r="E164" t="s">
        <v>11</v>
      </c>
      <c r="F164" t="s">
        <v>12</v>
      </c>
      <c r="G164" s="1">
        <v>35593</v>
      </c>
      <c r="H164" t="s">
        <v>13</v>
      </c>
      <c r="I164">
        <v>17035</v>
      </c>
      <c r="J164">
        <f>MONTH(Customer_payments[[#This Row],[Payment_Date]])</f>
        <v>6</v>
      </c>
    </row>
    <row r="165" spans="1:10" x14ac:dyDescent="0.3">
      <c r="A165">
        <v>8249</v>
      </c>
      <c r="B165" t="s">
        <v>162</v>
      </c>
      <c r="C165" t="s">
        <v>19</v>
      </c>
      <c r="D165">
        <v>31</v>
      </c>
      <c r="E165" t="s">
        <v>16</v>
      </c>
      <c r="F165" t="s">
        <v>12</v>
      </c>
      <c r="G165" s="1">
        <v>35321</v>
      </c>
      <c r="H165" t="s">
        <v>13</v>
      </c>
      <c r="I165">
        <v>16690</v>
      </c>
      <c r="J165">
        <f>MONTH(Customer_payments[[#This Row],[Payment_Date]])</f>
        <v>9</v>
      </c>
    </row>
    <row r="166" spans="1:10" x14ac:dyDescent="0.3">
      <c r="A166">
        <v>5214</v>
      </c>
      <c r="B166" t="s">
        <v>163</v>
      </c>
      <c r="C166" t="s">
        <v>19</v>
      </c>
      <c r="D166">
        <v>55</v>
      </c>
      <c r="E166" t="s">
        <v>16</v>
      </c>
      <c r="F166" t="s">
        <v>17</v>
      </c>
      <c r="H166" t="s">
        <v>13</v>
      </c>
      <c r="I166">
        <v>16299</v>
      </c>
      <c r="J166">
        <f>MONTH(Customer_payments[[#This Row],[Payment_Date]])</f>
        <v>1</v>
      </c>
    </row>
    <row r="167" spans="1:10" x14ac:dyDescent="0.3">
      <c r="A167">
        <v>3965</v>
      </c>
      <c r="B167" t="s">
        <v>164</v>
      </c>
      <c r="C167" t="s">
        <v>19</v>
      </c>
      <c r="D167">
        <v>23</v>
      </c>
      <c r="E167" t="s">
        <v>11</v>
      </c>
      <c r="F167" t="s">
        <v>12</v>
      </c>
      <c r="G167" s="1">
        <v>41593</v>
      </c>
      <c r="H167" t="s">
        <v>13</v>
      </c>
      <c r="I167">
        <v>16113</v>
      </c>
      <c r="J167">
        <f>MONTH(Customer_payments[[#This Row],[Payment_Date]])</f>
        <v>11</v>
      </c>
    </row>
    <row r="168" spans="1:10" x14ac:dyDescent="0.3">
      <c r="A168">
        <v>9177</v>
      </c>
      <c r="B168" t="s">
        <v>165</v>
      </c>
      <c r="C168" t="s">
        <v>15</v>
      </c>
      <c r="D168">
        <v>16</v>
      </c>
      <c r="E168" t="s">
        <v>16</v>
      </c>
      <c r="F168" t="s">
        <v>12</v>
      </c>
      <c r="G168" s="1">
        <v>35186</v>
      </c>
      <c r="H168" t="s">
        <v>13</v>
      </c>
      <c r="I168">
        <v>15307</v>
      </c>
      <c r="J168">
        <f>MONTH(Customer_payments[[#This Row],[Payment_Date]])</f>
        <v>5</v>
      </c>
    </row>
    <row r="169" spans="1:10" x14ac:dyDescent="0.3">
      <c r="A169">
        <v>2308</v>
      </c>
      <c r="B169" t="s">
        <v>166</v>
      </c>
      <c r="C169" t="s">
        <v>10</v>
      </c>
      <c r="D169">
        <v>47</v>
      </c>
      <c r="E169" t="s">
        <v>11</v>
      </c>
      <c r="F169" t="s">
        <v>12</v>
      </c>
      <c r="G169" s="1">
        <v>39669</v>
      </c>
      <c r="H169" t="s">
        <v>13</v>
      </c>
      <c r="I169">
        <v>13740</v>
      </c>
      <c r="J169">
        <f>MONTH(Customer_payments[[#This Row],[Payment_Date]])</f>
        <v>8</v>
      </c>
    </row>
    <row r="170" spans="1:10" x14ac:dyDescent="0.3">
      <c r="A170">
        <v>5958</v>
      </c>
      <c r="B170" t="s">
        <v>134</v>
      </c>
      <c r="C170" t="s">
        <v>19</v>
      </c>
      <c r="D170">
        <v>52</v>
      </c>
      <c r="E170" t="s">
        <v>11</v>
      </c>
      <c r="F170" t="s">
        <v>12</v>
      </c>
      <c r="G170" s="1">
        <v>38255</v>
      </c>
      <c r="H170" t="s">
        <v>13</v>
      </c>
      <c r="I170">
        <v>13693</v>
      </c>
      <c r="J170">
        <f>MONTH(Customer_payments[[#This Row],[Payment_Date]])</f>
        <v>9</v>
      </c>
    </row>
    <row r="171" spans="1:10" x14ac:dyDescent="0.3">
      <c r="A171">
        <v>6787</v>
      </c>
      <c r="B171" t="s">
        <v>167</v>
      </c>
      <c r="C171" t="s">
        <v>15</v>
      </c>
      <c r="D171">
        <v>26</v>
      </c>
      <c r="E171" t="s">
        <v>16</v>
      </c>
      <c r="F171" t="s">
        <v>17</v>
      </c>
      <c r="H171" t="s">
        <v>13</v>
      </c>
      <c r="I171">
        <v>13394</v>
      </c>
      <c r="J171">
        <f>MONTH(Customer_payments[[#This Row],[Payment_Date]])</f>
        <v>1</v>
      </c>
    </row>
    <row r="172" spans="1:10" x14ac:dyDescent="0.3">
      <c r="A172">
        <v>4920</v>
      </c>
      <c r="B172" t="s">
        <v>168</v>
      </c>
      <c r="C172" t="s">
        <v>19</v>
      </c>
      <c r="D172">
        <v>44</v>
      </c>
      <c r="E172" t="s">
        <v>11</v>
      </c>
      <c r="F172" t="s">
        <v>17</v>
      </c>
      <c r="H172" t="s">
        <v>13</v>
      </c>
      <c r="I172">
        <v>13169</v>
      </c>
      <c r="J172">
        <f>MONTH(Customer_payments[[#This Row],[Payment_Date]])</f>
        <v>1</v>
      </c>
    </row>
    <row r="173" spans="1:10" x14ac:dyDescent="0.3">
      <c r="A173">
        <v>6767</v>
      </c>
      <c r="B173" t="s">
        <v>62</v>
      </c>
      <c r="C173" t="s">
        <v>15</v>
      </c>
      <c r="D173">
        <v>15</v>
      </c>
      <c r="E173" t="s">
        <v>11</v>
      </c>
      <c r="F173" t="s">
        <v>12</v>
      </c>
      <c r="G173" s="1">
        <v>41186</v>
      </c>
      <c r="H173" t="s">
        <v>13</v>
      </c>
      <c r="I173">
        <v>12462</v>
      </c>
      <c r="J173">
        <f>MONTH(Customer_payments[[#This Row],[Payment_Date]])</f>
        <v>10</v>
      </c>
    </row>
    <row r="174" spans="1:10" x14ac:dyDescent="0.3">
      <c r="A174">
        <v>2396</v>
      </c>
      <c r="B174" t="s">
        <v>169</v>
      </c>
      <c r="C174" t="s">
        <v>19</v>
      </c>
      <c r="D174">
        <v>42</v>
      </c>
      <c r="E174" t="s">
        <v>11</v>
      </c>
      <c r="F174" t="s">
        <v>12</v>
      </c>
      <c r="G174" s="1">
        <v>38610</v>
      </c>
      <c r="H174" t="s">
        <v>13</v>
      </c>
      <c r="I174">
        <v>11223</v>
      </c>
      <c r="J174">
        <f>MONTH(Customer_payments[[#This Row],[Payment_Date]])</f>
        <v>9</v>
      </c>
    </row>
    <row r="175" spans="1:10" x14ac:dyDescent="0.3">
      <c r="A175">
        <v>6225</v>
      </c>
      <c r="B175" t="s">
        <v>137</v>
      </c>
      <c r="C175" t="s">
        <v>10</v>
      </c>
      <c r="D175">
        <v>17</v>
      </c>
      <c r="E175" t="s">
        <v>11</v>
      </c>
      <c r="F175" t="s">
        <v>12</v>
      </c>
      <c r="G175" s="1">
        <v>39074</v>
      </c>
      <c r="H175" t="s">
        <v>13</v>
      </c>
      <c r="I175">
        <v>10366</v>
      </c>
      <c r="J175">
        <f>MONTH(Customer_payments[[#This Row],[Payment_Date]])</f>
        <v>12</v>
      </c>
    </row>
    <row r="176" spans="1:10" x14ac:dyDescent="0.3">
      <c r="A176">
        <v>2257</v>
      </c>
      <c r="B176" t="s">
        <v>161</v>
      </c>
      <c r="C176" t="s">
        <v>19</v>
      </c>
      <c r="D176">
        <v>28</v>
      </c>
      <c r="E176" t="s">
        <v>16</v>
      </c>
      <c r="F176" t="s">
        <v>17</v>
      </c>
      <c r="H176" t="s">
        <v>13</v>
      </c>
      <c r="I176">
        <v>10001</v>
      </c>
      <c r="J176">
        <f>MONTH(Customer_payments[[#This Row],[Payment_Date]])</f>
        <v>1</v>
      </c>
    </row>
    <row r="177" spans="1:10" x14ac:dyDescent="0.3">
      <c r="A177">
        <v>4053</v>
      </c>
      <c r="B177" t="s">
        <v>170</v>
      </c>
      <c r="C177" t="s">
        <v>19</v>
      </c>
      <c r="D177">
        <v>13</v>
      </c>
      <c r="E177" t="s">
        <v>16</v>
      </c>
      <c r="F177" t="s">
        <v>17</v>
      </c>
      <c r="H177" t="s">
        <v>13</v>
      </c>
      <c r="I177">
        <v>9691</v>
      </c>
      <c r="J177">
        <f>MONTH(Customer_payments[[#This Row],[Payment_Date]])</f>
        <v>1</v>
      </c>
    </row>
    <row r="178" spans="1:10" x14ac:dyDescent="0.3">
      <c r="A178">
        <v>9858</v>
      </c>
      <c r="B178" t="s">
        <v>171</v>
      </c>
      <c r="C178" t="s">
        <v>15</v>
      </c>
      <c r="D178">
        <v>24</v>
      </c>
      <c r="E178" t="s">
        <v>11</v>
      </c>
      <c r="F178" t="s">
        <v>17</v>
      </c>
      <c r="H178" t="s">
        <v>13</v>
      </c>
      <c r="I178">
        <v>9520</v>
      </c>
      <c r="J178">
        <f>MONTH(Customer_payments[[#This Row],[Payment_Date]])</f>
        <v>1</v>
      </c>
    </row>
    <row r="179" spans="1:10" x14ac:dyDescent="0.3">
      <c r="A179">
        <v>2573</v>
      </c>
      <c r="B179" t="s">
        <v>172</v>
      </c>
      <c r="C179" t="s">
        <v>10</v>
      </c>
      <c r="D179">
        <v>18</v>
      </c>
      <c r="E179" t="s">
        <v>16</v>
      </c>
      <c r="F179" t="s">
        <v>12</v>
      </c>
      <c r="G179" s="1">
        <v>42634</v>
      </c>
      <c r="H179" t="s">
        <v>13</v>
      </c>
      <c r="I179">
        <v>8206</v>
      </c>
      <c r="J179">
        <f>MONTH(Customer_payments[[#This Row],[Payment_Date]])</f>
        <v>9</v>
      </c>
    </row>
    <row r="180" spans="1:10" x14ac:dyDescent="0.3">
      <c r="A180">
        <v>1897</v>
      </c>
      <c r="B180" t="s">
        <v>173</v>
      </c>
      <c r="C180" t="s">
        <v>15</v>
      </c>
      <c r="D180">
        <v>47</v>
      </c>
      <c r="E180" t="s">
        <v>16</v>
      </c>
      <c r="F180" t="s">
        <v>17</v>
      </c>
      <c r="H180" t="s">
        <v>13</v>
      </c>
      <c r="I180">
        <v>7389</v>
      </c>
      <c r="J180">
        <f>MONTH(Customer_payments[[#This Row],[Payment_Date]])</f>
        <v>1</v>
      </c>
    </row>
    <row r="181" spans="1:10" x14ac:dyDescent="0.3">
      <c r="A181">
        <v>519</v>
      </c>
      <c r="B181" t="s">
        <v>174</v>
      </c>
      <c r="C181" t="s">
        <v>19</v>
      </c>
      <c r="D181">
        <v>40</v>
      </c>
      <c r="E181" t="s">
        <v>16</v>
      </c>
      <c r="F181" t="s">
        <v>17</v>
      </c>
      <c r="H181" t="s">
        <v>13</v>
      </c>
      <c r="I181">
        <v>7068</v>
      </c>
      <c r="J181">
        <f>MONTH(Customer_payments[[#This Row],[Payment_Date]])</f>
        <v>1</v>
      </c>
    </row>
    <row r="182" spans="1:10" x14ac:dyDescent="0.3">
      <c r="A182">
        <v>584</v>
      </c>
      <c r="B182" t="s">
        <v>105</v>
      </c>
      <c r="C182" t="s">
        <v>15</v>
      </c>
      <c r="D182">
        <v>50</v>
      </c>
      <c r="E182" t="s">
        <v>16</v>
      </c>
      <c r="F182" t="s">
        <v>17</v>
      </c>
      <c r="H182" t="s">
        <v>13</v>
      </c>
      <c r="I182">
        <v>5769</v>
      </c>
      <c r="J182">
        <f>MONTH(Customer_payments[[#This Row],[Payment_Date]])</f>
        <v>1</v>
      </c>
    </row>
    <row r="183" spans="1:10" x14ac:dyDescent="0.3">
      <c r="A183">
        <v>7513</v>
      </c>
      <c r="B183" t="s">
        <v>175</v>
      </c>
      <c r="C183" t="s">
        <v>15</v>
      </c>
      <c r="D183">
        <v>31</v>
      </c>
      <c r="E183" t="s">
        <v>16</v>
      </c>
      <c r="F183" t="s">
        <v>17</v>
      </c>
      <c r="H183" t="s">
        <v>13</v>
      </c>
      <c r="I183">
        <v>5059</v>
      </c>
      <c r="J183">
        <f>MONTH(Customer_payments[[#This Row],[Payment_Date]])</f>
        <v>1</v>
      </c>
    </row>
    <row r="184" spans="1:10" x14ac:dyDescent="0.3">
      <c r="A184">
        <v>4527</v>
      </c>
      <c r="B184" t="s">
        <v>176</v>
      </c>
      <c r="C184" t="s">
        <v>15</v>
      </c>
      <c r="D184">
        <v>37</v>
      </c>
      <c r="E184" t="s">
        <v>16</v>
      </c>
      <c r="F184" t="s">
        <v>12</v>
      </c>
      <c r="G184" s="1">
        <v>37261</v>
      </c>
      <c r="H184" t="s">
        <v>177</v>
      </c>
      <c r="I184">
        <v>3951</v>
      </c>
      <c r="J184">
        <f>MONTH(Customer_payments[[#This Row],[Payment_Date]])</f>
        <v>1</v>
      </c>
    </row>
    <row r="185" spans="1:10" x14ac:dyDescent="0.3">
      <c r="A185">
        <v>1303</v>
      </c>
      <c r="B185" t="s">
        <v>178</v>
      </c>
      <c r="C185" t="s">
        <v>10</v>
      </c>
      <c r="D185">
        <v>44</v>
      </c>
      <c r="E185" t="s">
        <v>11</v>
      </c>
      <c r="F185" t="s">
        <v>17</v>
      </c>
      <c r="H185" t="s">
        <v>177</v>
      </c>
      <c r="I185">
        <v>3846</v>
      </c>
      <c r="J185">
        <f>MONTH(Customer_payments[[#This Row],[Payment_Date]])</f>
        <v>1</v>
      </c>
    </row>
    <row r="186" spans="1:10" x14ac:dyDescent="0.3">
      <c r="A186">
        <v>4094</v>
      </c>
      <c r="B186" t="s">
        <v>113</v>
      </c>
      <c r="C186" t="s">
        <v>10</v>
      </c>
      <c r="D186">
        <v>8</v>
      </c>
      <c r="E186" t="s">
        <v>11</v>
      </c>
      <c r="F186" t="s">
        <v>17</v>
      </c>
      <c r="H186" t="s">
        <v>177</v>
      </c>
      <c r="I186">
        <v>3725</v>
      </c>
      <c r="J186">
        <f>MONTH(Customer_payments[[#This Row],[Payment_Date]])</f>
        <v>1</v>
      </c>
    </row>
    <row r="187" spans="1:10" x14ac:dyDescent="0.3">
      <c r="A187">
        <v>7485</v>
      </c>
      <c r="B187" t="s">
        <v>176</v>
      </c>
      <c r="C187" t="s">
        <v>19</v>
      </c>
      <c r="D187">
        <v>47</v>
      </c>
      <c r="E187" t="s">
        <v>16</v>
      </c>
      <c r="F187" t="s">
        <v>12</v>
      </c>
      <c r="G187" s="1">
        <v>40295</v>
      </c>
      <c r="H187" t="s">
        <v>177</v>
      </c>
      <c r="I187">
        <v>3244</v>
      </c>
      <c r="J187">
        <f>MONTH(Customer_payments[[#This Row],[Payment_Date]])</f>
        <v>4</v>
      </c>
    </row>
    <row r="188" spans="1:10" x14ac:dyDescent="0.3">
      <c r="A188">
        <v>3569</v>
      </c>
      <c r="B188" t="s">
        <v>179</v>
      </c>
      <c r="C188" t="s">
        <v>19</v>
      </c>
      <c r="D188">
        <v>10</v>
      </c>
      <c r="E188" t="s">
        <v>16</v>
      </c>
      <c r="F188" t="s">
        <v>12</v>
      </c>
      <c r="G188" s="1">
        <v>41822</v>
      </c>
      <c r="H188" t="s">
        <v>177</v>
      </c>
      <c r="I188">
        <v>3119</v>
      </c>
      <c r="J188">
        <f>MONTH(Customer_payments[[#This Row],[Payment_Date]])</f>
        <v>7</v>
      </c>
    </row>
    <row r="189" spans="1:10" x14ac:dyDescent="0.3">
      <c r="A189">
        <v>8860</v>
      </c>
      <c r="B189" t="s">
        <v>180</v>
      </c>
      <c r="C189" t="s">
        <v>19</v>
      </c>
      <c r="D189">
        <v>29</v>
      </c>
      <c r="E189" t="s">
        <v>16</v>
      </c>
      <c r="F189" t="s">
        <v>12</v>
      </c>
      <c r="G189" s="1">
        <v>33127</v>
      </c>
      <c r="H189" t="s">
        <v>177</v>
      </c>
      <c r="I189">
        <v>2988</v>
      </c>
      <c r="J189">
        <f>MONTH(Customer_payments[[#This Row],[Payment_Date]])</f>
        <v>9</v>
      </c>
    </row>
    <row r="190" spans="1:10" x14ac:dyDescent="0.3">
      <c r="A190">
        <v>9917</v>
      </c>
      <c r="B190" t="s">
        <v>53</v>
      </c>
      <c r="C190" t="s">
        <v>15</v>
      </c>
      <c r="D190">
        <v>12</v>
      </c>
      <c r="E190" t="s">
        <v>16</v>
      </c>
      <c r="F190" t="s">
        <v>17</v>
      </c>
      <c r="H190" t="s">
        <v>177</v>
      </c>
      <c r="I190">
        <v>2282</v>
      </c>
      <c r="J190">
        <f>MONTH(Customer_payments[[#This Row],[Payment_Date]])</f>
        <v>1</v>
      </c>
    </row>
    <row r="191" spans="1:10" x14ac:dyDescent="0.3">
      <c r="A191">
        <v>4322</v>
      </c>
      <c r="B191" t="s">
        <v>117</v>
      </c>
      <c r="C191" t="s">
        <v>10</v>
      </c>
      <c r="D191">
        <v>25</v>
      </c>
      <c r="E191" t="s">
        <v>11</v>
      </c>
      <c r="F191" t="s">
        <v>12</v>
      </c>
      <c r="G191" s="1">
        <v>34934</v>
      </c>
      <c r="H191" t="s">
        <v>177</v>
      </c>
      <c r="I191">
        <v>1760</v>
      </c>
      <c r="J191">
        <f>MONTH(Customer_payments[[#This Row],[Payment_Date]])</f>
        <v>8</v>
      </c>
    </row>
    <row r="192" spans="1:10" x14ac:dyDescent="0.3">
      <c r="A192">
        <v>515</v>
      </c>
      <c r="B192" t="s">
        <v>181</v>
      </c>
      <c r="C192" t="s">
        <v>15</v>
      </c>
      <c r="D192">
        <v>9</v>
      </c>
      <c r="E192" t="s">
        <v>16</v>
      </c>
      <c r="F192" t="s">
        <v>12</v>
      </c>
      <c r="G192" s="1">
        <v>31897</v>
      </c>
      <c r="H192" t="s">
        <v>177</v>
      </c>
      <c r="I192">
        <v>1714</v>
      </c>
      <c r="J192">
        <f>MONTH(Customer_payments[[#This Row],[Payment_Date]])</f>
        <v>4</v>
      </c>
    </row>
    <row r="193" spans="1:10" x14ac:dyDescent="0.3">
      <c r="A193">
        <v>6513</v>
      </c>
      <c r="B193" t="s">
        <v>182</v>
      </c>
      <c r="C193" t="s">
        <v>19</v>
      </c>
      <c r="D193">
        <v>32</v>
      </c>
      <c r="E193" t="s">
        <v>11</v>
      </c>
      <c r="F193" t="s">
        <v>12</v>
      </c>
      <c r="G193" s="1">
        <v>43811</v>
      </c>
      <c r="H193" t="s">
        <v>177</v>
      </c>
      <c r="I193">
        <v>1421</v>
      </c>
      <c r="J193">
        <f>MONTH(Customer_payments[[#This Row],[Payment_Date]])</f>
        <v>12</v>
      </c>
    </row>
    <row r="194" spans="1:10" x14ac:dyDescent="0.3">
      <c r="A194">
        <v>9770</v>
      </c>
      <c r="B194" t="s">
        <v>183</v>
      </c>
      <c r="C194" t="s">
        <v>15</v>
      </c>
      <c r="D194">
        <v>20</v>
      </c>
      <c r="E194" t="s">
        <v>11</v>
      </c>
      <c r="F194" t="s">
        <v>12</v>
      </c>
      <c r="G194" s="1">
        <v>28437</v>
      </c>
      <c r="H194" t="s">
        <v>184</v>
      </c>
      <c r="I194">
        <v>987</v>
      </c>
      <c r="J194">
        <f>MONTH(Customer_payments[[#This Row],[Payment_Date]])</f>
        <v>11</v>
      </c>
    </row>
    <row r="195" spans="1:10" x14ac:dyDescent="0.3">
      <c r="A195">
        <v>7828</v>
      </c>
      <c r="B195" t="s">
        <v>185</v>
      </c>
      <c r="C195" t="s">
        <v>10</v>
      </c>
      <c r="D195">
        <v>31</v>
      </c>
      <c r="E195" t="s">
        <v>16</v>
      </c>
      <c r="F195" t="s">
        <v>12</v>
      </c>
      <c r="G195" s="1">
        <v>38915</v>
      </c>
      <c r="H195" t="s">
        <v>184</v>
      </c>
      <c r="I195">
        <v>894</v>
      </c>
      <c r="J195">
        <f>MONTH(Customer_payments[[#This Row],[Payment_Date]])</f>
        <v>7</v>
      </c>
    </row>
    <row r="196" spans="1:10" x14ac:dyDescent="0.3">
      <c r="A196">
        <v>2656</v>
      </c>
      <c r="B196" t="s">
        <v>137</v>
      </c>
      <c r="C196" t="s">
        <v>15</v>
      </c>
      <c r="D196">
        <v>44</v>
      </c>
      <c r="E196" t="s">
        <v>11</v>
      </c>
      <c r="F196" t="s">
        <v>17</v>
      </c>
      <c r="H196" t="s">
        <v>184</v>
      </c>
      <c r="I196">
        <v>806</v>
      </c>
      <c r="J196">
        <f>MONTH(Customer_payments[[#This Row],[Payment_Date]])</f>
        <v>1</v>
      </c>
    </row>
    <row r="197" spans="1:10" x14ac:dyDescent="0.3">
      <c r="A197">
        <v>8808</v>
      </c>
      <c r="B197" t="s">
        <v>186</v>
      </c>
      <c r="C197" t="s">
        <v>19</v>
      </c>
      <c r="D197">
        <v>24</v>
      </c>
      <c r="E197" t="s">
        <v>16</v>
      </c>
      <c r="F197" t="s">
        <v>17</v>
      </c>
      <c r="H197" t="s">
        <v>184</v>
      </c>
      <c r="I197">
        <v>766</v>
      </c>
      <c r="J197">
        <f>MONTH(Customer_payments[[#This Row],[Payment_Date]])</f>
        <v>1</v>
      </c>
    </row>
    <row r="198" spans="1:10" x14ac:dyDescent="0.3">
      <c r="A198">
        <v>7587</v>
      </c>
      <c r="B198" t="s">
        <v>187</v>
      </c>
      <c r="C198" t="s">
        <v>10</v>
      </c>
      <c r="D198">
        <v>14</v>
      </c>
      <c r="E198" t="s">
        <v>16</v>
      </c>
      <c r="F198" t="s">
        <v>17</v>
      </c>
      <c r="H198" t="s">
        <v>184</v>
      </c>
      <c r="I198">
        <v>696</v>
      </c>
      <c r="J198">
        <f>MONTH(Customer_payments[[#This Row],[Payment_Date]])</f>
        <v>1</v>
      </c>
    </row>
    <row r="199" spans="1:10" x14ac:dyDescent="0.3">
      <c r="A199">
        <v>3270</v>
      </c>
      <c r="B199" t="s">
        <v>126</v>
      </c>
      <c r="C199" t="s">
        <v>19</v>
      </c>
      <c r="D199">
        <v>28</v>
      </c>
      <c r="E199" t="s">
        <v>16</v>
      </c>
      <c r="F199" t="s">
        <v>12</v>
      </c>
      <c r="G199" s="1">
        <v>27174</v>
      </c>
      <c r="H199" t="s">
        <v>184</v>
      </c>
      <c r="I199">
        <v>559</v>
      </c>
      <c r="J199">
        <f>MONTH(Customer_payments[[#This Row],[Payment_Date]])</f>
        <v>5</v>
      </c>
    </row>
    <row r="200" spans="1:10" x14ac:dyDescent="0.3">
      <c r="A200">
        <v>1980</v>
      </c>
      <c r="B200" t="s">
        <v>188</v>
      </c>
      <c r="C200" t="s">
        <v>19</v>
      </c>
      <c r="D200">
        <v>49</v>
      </c>
      <c r="E200" t="s">
        <v>11</v>
      </c>
      <c r="F200" t="s">
        <v>17</v>
      </c>
      <c r="H200" t="s">
        <v>184</v>
      </c>
      <c r="I200">
        <v>426</v>
      </c>
      <c r="J200">
        <f>MONTH(Customer_payments[[#This Row],[Payment_Date]])</f>
        <v>1</v>
      </c>
    </row>
    <row r="201" spans="1:10" x14ac:dyDescent="0.3">
      <c r="A201">
        <v>2182</v>
      </c>
      <c r="B201" t="s">
        <v>189</v>
      </c>
      <c r="C201" t="s">
        <v>19</v>
      </c>
      <c r="D201">
        <v>55</v>
      </c>
      <c r="E201" t="s">
        <v>11</v>
      </c>
      <c r="F201" t="s">
        <v>17</v>
      </c>
      <c r="H201" t="s">
        <v>184</v>
      </c>
      <c r="I201">
        <v>312</v>
      </c>
      <c r="J201">
        <f>MONTH(Customer_payments[[#This Row],[Payment_Date]])</f>
        <v>1</v>
      </c>
    </row>
  </sheetData>
  <conditionalFormatting sqref="E1:E1048576">
    <cfRule type="containsText" dxfId="8" priority="1" operator="containsText" text="COD">
      <formula>NOT(ISERROR(SEARCH("COD",E1)))</formula>
    </cfRule>
  </conditionalFormatting>
  <conditionalFormatting sqref="F1:F1048576">
    <cfRule type="containsText" dxfId="7" priority="2" operator="containsText" text="NOT">
      <formula>NOT(ISERROR(SEARCH("NOT",F1)))</formula>
    </cfRule>
  </conditionalFormatting>
  <conditionalFormatting sqref="H1:H1048576">
    <cfRule type="containsText" dxfId="6" priority="3" operator="containsText" text="Medium">
      <formula>NOT(ISERROR(SEARCH("Medium",H1)))</formula>
    </cfRule>
    <cfRule type="containsText" dxfId="5" priority="4" operator="containsText" text="High">
      <formula>NOT(ISERROR(SEARCH("High",H1)))</formula>
    </cfRule>
    <cfRule type="colorScale" priority="5">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3E916-63F8-4A23-99DF-ED2BC15BBC7D}">
  <dimension ref="A1:E201"/>
  <sheetViews>
    <sheetView topLeftCell="A2" workbookViewId="0">
      <selection sqref="A1:E201"/>
    </sheetView>
  </sheetViews>
  <sheetFormatPr defaultRowHeight="14.4" x14ac:dyDescent="0.3"/>
  <cols>
    <col min="1" max="1" width="7" bestFit="1" customWidth="1"/>
    <col min="2" max="2" width="18" bestFit="1" customWidth="1"/>
    <col min="3" max="3" width="28.33203125" bestFit="1" customWidth="1"/>
    <col min="4" max="4" width="12.33203125" bestFit="1" customWidth="1"/>
    <col min="5" max="5" width="14.109375" bestFit="1" customWidth="1"/>
  </cols>
  <sheetData>
    <row r="1" spans="1:5" x14ac:dyDescent="0.3">
      <c r="A1" t="s">
        <v>190</v>
      </c>
      <c r="B1" t="s">
        <v>191</v>
      </c>
      <c r="C1" t="s">
        <v>192</v>
      </c>
      <c r="D1" t="s">
        <v>193</v>
      </c>
      <c r="E1" t="s">
        <v>194</v>
      </c>
    </row>
    <row r="2" spans="1:5" x14ac:dyDescent="0.3">
      <c r="A2">
        <v>582</v>
      </c>
      <c r="B2" t="s">
        <v>195</v>
      </c>
      <c r="C2" t="s">
        <v>196</v>
      </c>
      <c r="D2" t="s">
        <v>197</v>
      </c>
      <c r="E2">
        <v>690</v>
      </c>
    </row>
    <row r="3" spans="1:5" x14ac:dyDescent="0.3">
      <c r="A3">
        <v>396</v>
      </c>
      <c r="B3" t="s">
        <v>46</v>
      </c>
      <c r="C3" t="s">
        <v>198</v>
      </c>
      <c r="D3" t="s">
        <v>199</v>
      </c>
      <c r="E3">
        <v>933</v>
      </c>
    </row>
    <row r="4" spans="1:5" x14ac:dyDescent="0.3">
      <c r="A4">
        <v>545</v>
      </c>
      <c r="B4" t="s">
        <v>200</v>
      </c>
      <c r="C4" t="s">
        <v>201</v>
      </c>
      <c r="D4" t="s">
        <v>202</v>
      </c>
      <c r="E4">
        <v>261</v>
      </c>
    </row>
    <row r="5" spans="1:5" x14ac:dyDescent="0.3">
      <c r="A5">
        <v>770</v>
      </c>
      <c r="B5" t="s">
        <v>156</v>
      </c>
      <c r="C5" t="s">
        <v>203</v>
      </c>
      <c r="D5" t="s">
        <v>204</v>
      </c>
      <c r="E5">
        <v>445</v>
      </c>
    </row>
    <row r="6" spans="1:5" x14ac:dyDescent="0.3">
      <c r="A6">
        <v>991</v>
      </c>
      <c r="B6" t="s">
        <v>205</v>
      </c>
      <c r="C6" t="s">
        <v>206</v>
      </c>
      <c r="D6" t="s">
        <v>207</v>
      </c>
      <c r="E6">
        <v>722</v>
      </c>
    </row>
    <row r="7" spans="1:5" x14ac:dyDescent="0.3">
      <c r="A7">
        <v>437</v>
      </c>
      <c r="B7" t="s">
        <v>208</v>
      </c>
      <c r="C7" t="s">
        <v>209</v>
      </c>
      <c r="D7" t="s">
        <v>210</v>
      </c>
      <c r="E7">
        <v>129</v>
      </c>
    </row>
    <row r="8" spans="1:5" x14ac:dyDescent="0.3">
      <c r="A8">
        <v>805</v>
      </c>
      <c r="B8" t="s">
        <v>129</v>
      </c>
      <c r="C8" t="s">
        <v>211</v>
      </c>
      <c r="D8" t="s">
        <v>212</v>
      </c>
      <c r="E8">
        <v>489</v>
      </c>
    </row>
    <row r="9" spans="1:5" x14ac:dyDescent="0.3">
      <c r="A9">
        <v>803</v>
      </c>
      <c r="B9" t="s">
        <v>213</v>
      </c>
      <c r="C9" t="s">
        <v>214</v>
      </c>
      <c r="D9" t="s">
        <v>204</v>
      </c>
      <c r="E9">
        <v>165</v>
      </c>
    </row>
    <row r="10" spans="1:5" x14ac:dyDescent="0.3">
      <c r="A10">
        <v>295</v>
      </c>
      <c r="B10" t="s">
        <v>215</v>
      </c>
      <c r="C10" t="s">
        <v>216</v>
      </c>
      <c r="D10" t="s">
        <v>207</v>
      </c>
      <c r="E10">
        <v>164</v>
      </c>
    </row>
    <row r="11" spans="1:5" x14ac:dyDescent="0.3">
      <c r="A11">
        <v>804</v>
      </c>
      <c r="B11" t="s">
        <v>217</v>
      </c>
      <c r="C11" t="s">
        <v>196</v>
      </c>
      <c r="D11" t="s">
        <v>218</v>
      </c>
      <c r="E11">
        <v>364</v>
      </c>
    </row>
    <row r="12" spans="1:5" x14ac:dyDescent="0.3">
      <c r="A12">
        <v>54</v>
      </c>
      <c r="B12" t="s">
        <v>219</v>
      </c>
      <c r="C12" t="s">
        <v>220</v>
      </c>
      <c r="D12" t="s">
        <v>221</v>
      </c>
      <c r="E12">
        <v>469</v>
      </c>
    </row>
    <row r="13" spans="1:5" x14ac:dyDescent="0.3">
      <c r="A13">
        <v>853</v>
      </c>
      <c r="B13" t="s">
        <v>222</v>
      </c>
      <c r="C13" t="s">
        <v>223</v>
      </c>
      <c r="D13" t="s">
        <v>224</v>
      </c>
      <c r="E13">
        <v>158</v>
      </c>
    </row>
    <row r="14" spans="1:5" x14ac:dyDescent="0.3">
      <c r="A14">
        <v>902</v>
      </c>
      <c r="B14" t="s">
        <v>225</v>
      </c>
      <c r="C14" t="s">
        <v>226</v>
      </c>
      <c r="D14" t="s">
        <v>227</v>
      </c>
      <c r="E14">
        <v>337</v>
      </c>
    </row>
    <row r="15" spans="1:5" x14ac:dyDescent="0.3">
      <c r="A15">
        <v>163</v>
      </c>
      <c r="B15" t="s">
        <v>228</v>
      </c>
      <c r="C15" t="s">
        <v>229</v>
      </c>
      <c r="D15" t="s">
        <v>230</v>
      </c>
      <c r="E15">
        <v>634</v>
      </c>
    </row>
    <row r="16" spans="1:5" x14ac:dyDescent="0.3">
      <c r="A16">
        <v>993</v>
      </c>
      <c r="B16" t="s">
        <v>231</v>
      </c>
      <c r="C16" t="s">
        <v>206</v>
      </c>
      <c r="D16" t="s">
        <v>197</v>
      </c>
      <c r="E16">
        <v>577</v>
      </c>
    </row>
    <row r="17" spans="1:5" x14ac:dyDescent="0.3">
      <c r="A17">
        <v>891</v>
      </c>
      <c r="B17" t="s">
        <v>232</v>
      </c>
      <c r="C17" t="s">
        <v>233</v>
      </c>
      <c r="D17" t="s">
        <v>234</v>
      </c>
      <c r="E17">
        <v>907</v>
      </c>
    </row>
    <row r="18" spans="1:5" x14ac:dyDescent="0.3">
      <c r="A18">
        <v>950</v>
      </c>
      <c r="B18" t="s">
        <v>235</v>
      </c>
      <c r="C18" t="s">
        <v>236</v>
      </c>
      <c r="D18" t="s">
        <v>207</v>
      </c>
      <c r="E18">
        <v>870</v>
      </c>
    </row>
    <row r="19" spans="1:5" x14ac:dyDescent="0.3">
      <c r="A19">
        <v>292</v>
      </c>
      <c r="B19" t="s">
        <v>237</v>
      </c>
      <c r="C19" t="s">
        <v>220</v>
      </c>
      <c r="D19" t="s">
        <v>207</v>
      </c>
      <c r="E19">
        <v>982</v>
      </c>
    </row>
    <row r="20" spans="1:5" x14ac:dyDescent="0.3">
      <c r="A20">
        <v>90</v>
      </c>
      <c r="B20" t="s">
        <v>238</v>
      </c>
      <c r="C20" t="s">
        <v>239</v>
      </c>
      <c r="D20" t="s">
        <v>240</v>
      </c>
      <c r="E20">
        <v>351</v>
      </c>
    </row>
    <row r="21" spans="1:5" x14ac:dyDescent="0.3">
      <c r="A21">
        <v>49</v>
      </c>
      <c r="B21" t="s">
        <v>241</v>
      </c>
      <c r="C21" t="s">
        <v>198</v>
      </c>
      <c r="D21" t="s">
        <v>199</v>
      </c>
      <c r="E21">
        <v>328</v>
      </c>
    </row>
    <row r="22" spans="1:5" x14ac:dyDescent="0.3">
      <c r="A22">
        <v>100</v>
      </c>
      <c r="B22" t="s">
        <v>242</v>
      </c>
      <c r="C22" t="s">
        <v>214</v>
      </c>
      <c r="D22" t="s">
        <v>243</v>
      </c>
      <c r="E22">
        <v>242</v>
      </c>
    </row>
    <row r="23" spans="1:5" x14ac:dyDescent="0.3">
      <c r="A23">
        <v>405</v>
      </c>
      <c r="B23" t="s">
        <v>244</v>
      </c>
      <c r="C23" t="s">
        <v>233</v>
      </c>
      <c r="D23" t="s">
        <v>245</v>
      </c>
      <c r="E23">
        <v>421</v>
      </c>
    </row>
    <row r="24" spans="1:5" x14ac:dyDescent="0.3">
      <c r="A24">
        <v>584</v>
      </c>
      <c r="B24" t="s">
        <v>246</v>
      </c>
      <c r="C24" t="s">
        <v>247</v>
      </c>
      <c r="D24" t="s">
        <v>248</v>
      </c>
      <c r="E24">
        <v>6</v>
      </c>
    </row>
    <row r="25" spans="1:5" x14ac:dyDescent="0.3">
      <c r="A25">
        <v>326</v>
      </c>
      <c r="B25" t="s">
        <v>238</v>
      </c>
      <c r="C25" t="s">
        <v>249</v>
      </c>
      <c r="D25" t="s">
        <v>250</v>
      </c>
      <c r="E25">
        <v>384</v>
      </c>
    </row>
    <row r="26" spans="1:5" x14ac:dyDescent="0.3">
      <c r="A26">
        <v>95</v>
      </c>
      <c r="B26" t="s">
        <v>251</v>
      </c>
      <c r="C26" t="s">
        <v>220</v>
      </c>
      <c r="D26" t="s">
        <v>207</v>
      </c>
      <c r="E26">
        <v>286</v>
      </c>
    </row>
    <row r="27" spans="1:5" x14ac:dyDescent="0.3">
      <c r="A27">
        <v>600</v>
      </c>
      <c r="B27" t="s">
        <v>252</v>
      </c>
      <c r="C27" t="s">
        <v>253</v>
      </c>
      <c r="D27" t="s">
        <v>254</v>
      </c>
      <c r="E27">
        <v>892</v>
      </c>
    </row>
    <row r="28" spans="1:5" x14ac:dyDescent="0.3">
      <c r="A28">
        <v>26</v>
      </c>
      <c r="B28" t="s">
        <v>255</v>
      </c>
      <c r="C28" t="s">
        <v>216</v>
      </c>
      <c r="D28" t="s">
        <v>256</v>
      </c>
      <c r="E28">
        <v>558</v>
      </c>
    </row>
    <row r="29" spans="1:5" x14ac:dyDescent="0.3">
      <c r="A29">
        <v>515</v>
      </c>
      <c r="B29" t="s">
        <v>257</v>
      </c>
      <c r="C29" t="s">
        <v>258</v>
      </c>
      <c r="D29" t="s">
        <v>210</v>
      </c>
      <c r="E29">
        <v>481</v>
      </c>
    </row>
    <row r="30" spans="1:5" x14ac:dyDescent="0.3">
      <c r="A30">
        <v>876</v>
      </c>
      <c r="B30" t="s">
        <v>259</v>
      </c>
      <c r="C30" t="s">
        <v>206</v>
      </c>
      <c r="D30" t="s">
        <v>250</v>
      </c>
      <c r="E30">
        <v>155</v>
      </c>
    </row>
    <row r="31" spans="1:5" x14ac:dyDescent="0.3">
      <c r="A31">
        <v>691</v>
      </c>
      <c r="B31" t="s">
        <v>195</v>
      </c>
      <c r="C31" t="s">
        <v>216</v>
      </c>
      <c r="D31" t="s">
        <v>221</v>
      </c>
      <c r="E31">
        <v>771</v>
      </c>
    </row>
    <row r="32" spans="1:5" x14ac:dyDescent="0.3">
      <c r="A32">
        <v>605</v>
      </c>
      <c r="B32" t="s">
        <v>260</v>
      </c>
      <c r="C32" t="s">
        <v>261</v>
      </c>
      <c r="D32" t="s">
        <v>262</v>
      </c>
      <c r="E32">
        <v>945</v>
      </c>
    </row>
    <row r="33" spans="1:5" x14ac:dyDescent="0.3">
      <c r="A33">
        <v>864</v>
      </c>
      <c r="B33" t="s">
        <v>139</v>
      </c>
      <c r="C33" t="s">
        <v>263</v>
      </c>
      <c r="D33" t="s">
        <v>218</v>
      </c>
      <c r="E33">
        <v>719</v>
      </c>
    </row>
    <row r="34" spans="1:5" x14ac:dyDescent="0.3">
      <c r="A34">
        <v>886</v>
      </c>
      <c r="B34" t="s">
        <v>264</v>
      </c>
      <c r="C34" t="s">
        <v>198</v>
      </c>
      <c r="D34" t="s">
        <v>210</v>
      </c>
      <c r="E34">
        <v>493</v>
      </c>
    </row>
    <row r="35" spans="1:5" x14ac:dyDescent="0.3">
      <c r="A35">
        <v>365</v>
      </c>
      <c r="B35" t="s">
        <v>24</v>
      </c>
      <c r="C35" t="s">
        <v>253</v>
      </c>
      <c r="D35" t="s">
        <v>265</v>
      </c>
      <c r="E35">
        <v>998</v>
      </c>
    </row>
    <row r="36" spans="1:5" x14ac:dyDescent="0.3">
      <c r="A36">
        <v>946</v>
      </c>
      <c r="B36" t="s">
        <v>238</v>
      </c>
      <c r="C36" t="s">
        <v>266</v>
      </c>
      <c r="D36" t="s">
        <v>234</v>
      </c>
      <c r="E36">
        <v>968</v>
      </c>
    </row>
    <row r="37" spans="1:5" x14ac:dyDescent="0.3">
      <c r="A37">
        <v>152</v>
      </c>
      <c r="B37" t="s">
        <v>267</v>
      </c>
      <c r="C37" t="s">
        <v>258</v>
      </c>
      <c r="D37" t="s">
        <v>250</v>
      </c>
      <c r="E37">
        <v>738</v>
      </c>
    </row>
    <row r="38" spans="1:5" x14ac:dyDescent="0.3">
      <c r="A38">
        <v>789</v>
      </c>
      <c r="B38" t="s">
        <v>268</v>
      </c>
      <c r="C38" t="s">
        <v>209</v>
      </c>
      <c r="D38" t="s">
        <v>204</v>
      </c>
      <c r="E38">
        <v>912</v>
      </c>
    </row>
    <row r="39" spans="1:5" x14ac:dyDescent="0.3">
      <c r="A39">
        <v>148</v>
      </c>
      <c r="B39" t="s">
        <v>269</v>
      </c>
      <c r="C39" t="s">
        <v>203</v>
      </c>
      <c r="D39" t="s">
        <v>245</v>
      </c>
      <c r="E39">
        <v>782</v>
      </c>
    </row>
    <row r="40" spans="1:5" x14ac:dyDescent="0.3">
      <c r="A40">
        <v>7</v>
      </c>
      <c r="B40" t="s">
        <v>270</v>
      </c>
      <c r="C40" t="s">
        <v>201</v>
      </c>
      <c r="D40" t="s">
        <v>271</v>
      </c>
      <c r="E40">
        <v>140</v>
      </c>
    </row>
    <row r="41" spans="1:5" x14ac:dyDescent="0.3">
      <c r="A41">
        <v>982</v>
      </c>
      <c r="B41" t="s">
        <v>272</v>
      </c>
      <c r="C41" t="s">
        <v>247</v>
      </c>
      <c r="D41" t="s">
        <v>199</v>
      </c>
      <c r="E41">
        <v>702</v>
      </c>
    </row>
    <row r="42" spans="1:5" x14ac:dyDescent="0.3">
      <c r="A42">
        <v>249</v>
      </c>
      <c r="B42" t="s">
        <v>273</v>
      </c>
      <c r="C42" t="s">
        <v>239</v>
      </c>
      <c r="D42" t="s">
        <v>197</v>
      </c>
      <c r="E42">
        <v>284</v>
      </c>
    </row>
    <row r="43" spans="1:5" x14ac:dyDescent="0.3">
      <c r="A43">
        <v>273</v>
      </c>
      <c r="B43" t="s">
        <v>106</v>
      </c>
      <c r="C43" t="s">
        <v>206</v>
      </c>
      <c r="D43" t="s">
        <v>250</v>
      </c>
      <c r="E43">
        <v>199</v>
      </c>
    </row>
    <row r="44" spans="1:5" x14ac:dyDescent="0.3">
      <c r="A44">
        <v>172</v>
      </c>
      <c r="B44" t="s">
        <v>274</v>
      </c>
      <c r="C44" t="s">
        <v>214</v>
      </c>
      <c r="D44" t="s">
        <v>197</v>
      </c>
      <c r="E44">
        <v>228</v>
      </c>
    </row>
    <row r="45" spans="1:5" x14ac:dyDescent="0.3">
      <c r="A45">
        <v>234</v>
      </c>
      <c r="B45" t="s">
        <v>275</v>
      </c>
      <c r="C45" t="s">
        <v>209</v>
      </c>
      <c r="D45" t="s">
        <v>240</v>
      </c>
      <c r="E45">
        <v>908</v>
      </c>
    </row>
    <row r="46" spans="1:5" x14ac:dyDescent="0.3">
      <c r="A46">
        <v>844</v>
      </c>
      <c r="B46" t="s">
        <v>276</v>
      </c>
      <c r="C46" t="s">
        <v>263</v>
      </c>
      <c r="D46" t="s">
        <v>230</v>
      </c>
      <c r="E46">
        <v>594</v>
      </c>
    </row>
    <row r="47" spans="1:5" x14ac:dyDescent="0.3">
      <c r="A47">
        <v>368</v>
      </c>
      <c r="B47" t="s">
        <v>277</v>
      </c>
      <c r="C47" t="s">
        <v>214</v>
      </c>
      <c r="D47" t="s">
        <v>197</v>
      </c>
      <c r="E47">
        <v>542</v>
      </c>
    </row>
    <row r="48" spans="1:5" x14ac:dyDescent="0.3">
      <c r="A48">
        <v>372</v>
      </c>
      <c r="B48" t="s">
        <v>75</v>
      </c>
      <c r="C48" t="s">
        <v>201</v>
      </c>
      <c r="D48" t="s">
        <v>199</v>
      </c>
      <c r="E48">
        <v>586</v>
      </c>
    </row>
    <row r="49" spans="1:5" x14ac:dyDescent="0.3">
      <c r="A49">
        <v>82</v>
      </c>
      <c r="B49" t="s">
        <v>278</v>
      </c>
      <c r="C49" t="s">
        <v>249</v>
      </c>
      <c r="D49" t="s">
        <v>279</v>
      </c>
      <c r="E49">
        <v>636</v>
      </c>
    </row>
    <row r="50" spans="1:5" x14ac:dyDescent="0.3">
      <c r="A50">
        <v>528</v>
      </c>
      <c r="B50" t="s">
        <v>280</v>
      </c>
      <c r="C50" t="s">
        <v>196</v>
      </c>
      <c r="D50" t="s">
        <v>271</v>
      </c>
      <c r="E50">
        <v>581</v>
      </c>
    </row>
    <row r="51" spans="1:5" x14ac:dyDescent="0.3">
      <c r="A51">
        <v>143</v>
      </c>
      <c r="B51" t="s">
        <v>148</v>
      </c>
      <c r="C51" t="s">
        <v>233</v>
      </c>
      <c r="D51" t="s">
        <v>202</v>
      </c>
      <c r="E51">
        <v>336</v>
      </c>
    </row>
    <row r="52" spans="1:5" x14ac:dyDescent="0.3">
      <c r="A52">
        <v>429</v>
      </c>
      <c r="B52" t="s">
        <v>281</v>
      </c>
      <c r="C52" t="s">
        <v>203</v>
      </c>
      <c r="D52" t="s">
        <v>221</v>
      </c>
      <c r="E52">
        <v>504</v>
      </c>
    </row>
    <row r="53" spans="1:5" x14ac:dyDescent="0.3">
      <c r="A53">
        <v>47</v>
      </c>
      <c r="B53" t="s">
        <v>143</v>
      </c>
      <c r="C53" t="s">
        <v>198</v>
      </c>
      <c r="D53" t="s">
        <v>282</v>
      </c>
      <c r="E53">
        <v>346</v>
      </c>
    </row>
    <row r="54" spans="1:5" x14ac:dyDescent="0.3">
      <c r="A54">
        <v>790</v>
      </c>
      <c r="B54" t="s">
        <v>120</v>
      </c>
      <c r="C54" t="s">
        <v>266</v>
      </c>
      <c r="D54" t="s">
        <v>199</v>
      </c>
      <c r="E54">
        <v>135</v>
      </c>
    </row>
    <row r="55" spans="1:5" x14ac:dyDescent="0.3">
      <c r="A55">
        <v>427</v>
      </c>
      <c r="B55" t="s">
        <v>283</v>
      </c>
      <c r="C55" t="s">
        <v>206</v>
      </c>
      <c r="D55" t="s">
        <v>240</v>
      </c>
      <c r="E55">
        <v>822</v>
      </c>
    </row>
    <row r="56" spans="1:5" x14ac:dyDescent="0.3">
      <c r="A56">
        <v>906</v>
      </c>
      <c r="B56" t="s">
        <v>284</v>
      </c>
      <c r="C56" t="s">
        <v>261</v>
      </c>
      <c r="D56" t="s">
        <v>285</v>
      </c>
      <c r="E56">
        <v>95</v>
      </c>
    </row>
    <row r="57" spans="1:5" x14ac:dyDescent="0.3">
      <c r="A57">
        <v>750</v>
      </c>
      <c r="B57" t="s">
        <v>286</v>
      </c>
      <c r="C57" t="s">
        <v>253</v>
      </c>
      <c r="D57" t="s">
        <v>287</v>
      </c>
      <c r="E57">
        <v>597</v>
      </c>
    </row>
    <row r="58" spans="1:5" x14ac:dyDescent="0.3">
      <c r="A58">
        <v>913</v>
      </c>
      <c r="B58" t="s">
        <v>288</v>
      </c>
      <c r="C58" t="s">
        <v>289</v>
      </c>
      <c r="D58" t="s">
        <v>207</v>
      </c>
      <c r="E58">
        <v>340</v>
      </c>
    </row>
    <row r="59" spans="1:5" x14ac:dyDescent="0.3">
      <c r="A59">
        <v>31</v>
      </c>
      <c r="B59" t="s">
        <v>290</v>
      </c>
      <c r="C59" t="s">
        <v>261</v>
      </c>
      <c r="D59" t="s">
        <v>291</v>
      </c>
      <c r="E59">
        <v>905</v>
      </c>
    </row>
    <row r="60" spans="1:5" x14ac:dyDescent="0.3">
      <c r="A60">
        <v>733</v>
      </c>
      <c r="B60" t="s">
        <v>292</v>
      </c>
      <c r="C60" t="s">
        <v>247</v>
      </c>
      <c r="D60" t="s">
        <v>293</v>
      </c>
      <c r="E60">
        <v>250</v>
      </c>
    </row>
    <row r="61" spans="1:5" x14ac:dyDescent="0.3">
      <c r="A61">
        <v>624</v>
      </c>
      <c r="B61" t="s">
        <v>140</v>
      </c>
      <c r="C61" t="s">
        <v>263</v>
      </c>
      <c r="D61" t="s">
        <v>240</v>
      </c>
      <c r="E61">
        <v>400</v>
      </c>
    </row>
    <row r="62" spans="1:5" x14ac:dyDescent="0.3">
      <c r="A62">
        <v>199</v>
      </c>
      <c r="B62" t="s">
        <v>22</v>
      </c>
      <c r="C62" t="s">
        <v>258</v>
      </c>
      <c r="D62" t="s">
        <v>294</v>
      </c>
      <c r="E62">
        <v>877</v>
      </c>
    </row>
    <row r="63" spans="1:5" x14ac:dyDescent="0.3">
      <c r="A63">
        <v>112</v>
      </c>
      <c r="B63" t="s">
        <v>295</v>
      </c>
      <c r="C63" t="s">
        <v>216</v>
      </c>
      <c r="D63" t="s">
        <v>202</v>
      </c>
      <c r="E63">
        <v>97</v>
      </c>
    </row>
    <row r="64" spans="1:5" x14ac:dyDescent="0.3">
      <c r="A64">
        <v>256</v>
      </c>
      <c r="B64" t="s">
        <v>164</v>
      </c>
      <c r="C64" t="s">
        <v>253</v>
      </c>
      <c r="D64" t="s">
        <v>296</v>
      </c>
      <c r="E64">
        <v>12</v>
      </c>
    </row>
    <row r="65" spans="1:5" x14ac:dyDescent="0.3">
      <c r="A65">
        <v>848</v>
      </c>
      <c r="B65" t="s">
        <v>297</v>
      </c>
      <c r="C65" t="s">
        <v>258</v>
      </c>
      <c r="D65" t="s">
        <v>265</v>
      </c>
      <c r="E65">
        <v>353</v>
      </c>
    </row>
    <row r="66" spans="1:5" x14ac:dyDescent="0.3">
      <c r="A66">
        <v>102</v>
      </c>
      <c r="B66" t="s">
        <v>129</v>
      </c>
      <c r="C66" t="s">
        <v>258</v>
      </c>
      <c r="D66" t="s">
        <v>230</v>
      </c>
      <c r="E66">
        <v>856</v>
      </c>
    </row>
    <row r="67" spans="1:5" x14ac:dyDescent="0.3">
      <c r="A67">
        <v>361</v>
      </c>
      <c r="B67" t="s">
        <v>298</v>
      </c>
      <c r="C67" t="s">
        <v>196</v>
      </c>
      <c r="D67" t="s">
        <v>250</v>
      </c>
      <c r="E67">
        <v>1</v>
      </c>
    </row>
    <row r="68" spans="1:5" x14ac:dyDescent="0.3">
      <c r="A68">
        <v>962</v>
      </c>
      <c r="B68" t="s">
        <v>299</v>
      </c>
      <c r="C68" t="s">
        <v>226</v>
      </c>
      <c r="D68" t="s">
        <v>218</v>
      </c>
      <c r="E68">
        <v>390</v>
      </c>
    </row>
    <row r="69" spans="1:5" x14ac:dyDescent="0.3">
      <c r="A69">
        <v>443</v>
      </c>
      <c r="B69" t="s">
        <v>300</v>
      </c>
      <c r="C69" t="s">
        <v>223</v>
      </c>
      <c r="D69" t="s">
        <v>227</v>
      </c>
      <c r="E69">
        <v>446</v>
      </c>
    </row>
    <row r="70" spans="1:5" x14ac:dyDescent="0.3">
      <c r="A70">
        <v>977</v>
      </c>
      <c r="B70" t="s">
        <v>301</v>
      </c>
      <c r="C70" t="s">
        <v>302</v>
      </c>
      <c r="D70" t="s">
        <v>248</v>
      </c>
      <c r="E70">
        <v>32</v>
      </c>
    </row>
    <row r="71" spans="1:5" x14ac:dyDescent="0.3">
      <c r="A71">
        <v>936</v>
      </c>
      <c r="B71" t="s">
        <v>147</v>
      </c>
      <c r="C71" t="s">
        <v>196</v>
      </c>
      <c r="D71" t="s">
        <v>303</v>
      </c>
      <c r="E71">
        <v>420</v>
      </c>
    </row>
    <row r="72" spans="1:5" x14ac:dyDescent="0.3">
      <c r="A72">
        <v>395</v>
      </c>
      <c r="B72" t="s">
        <v>304</v>
      </c>
      <c r="C72" t="s">
        <v>233</v>
      </c>
      <c r="D72" t="s">
        <v>197</v>
      </c>
      <c r="E72">
        <v>708</v>
      </c>
    </row>
    <row r="73" spans="1:5" x14ac:dyDescent="0.3">
      <c r="A73">
        <v>344</v>
      </c>
      <c r="B73" t="s">
        <v>68</v>
      </c>
      <c r="C73" t="s">
        <v>305</v>
      </c>
      <c r="D73" t="s">
        <v>306</v>
      </c>
      <c r="E73">
        <v>227</v>
      </c>
    </row>
    <row r="74" spans="1:5" x14ac:dyDescent="0.3">
      <c r="A74">
        <v>48</v>
      </c>
      <c r="B74" t="s">
        <v>307</v>
      </c>
      <c r="C74" t="s">
        <v>236</v>
      </c>
      <c r="D74" t="s">
        <v>265</v>
      </c>
      <c r="E74">
        <v>595</v>
      </c>
    </row>
    <row r="75" spans="1:5" x14ac:dyDescent="0.3">
      <c r="A75">
        <v>362</v>
      </c>
      <c r="B75" t="s">
        <v>308</v>
      </c>
      <c r="C75" t="s">
        <v>198</v>
      </c>
      <c r="D75" t="s">
        <v>210</v>
      </c>
      <c r="E75">
        <v>211</v>
      </c>
    </row>
    <row r="76" spans="1:5" x14ac:dyDescent="0.3">
      <c r="A76">
        <v>88</v>
      </c>
      <c r="B76" t="s">
        <v>309</v>
      </c>
      <c r="C76" t="s">
        <v>261</v>
      </c>
      <c r="D76" t="s">
        <v>250</v>
      </c>
      <c r="E76">
        <v>650</v>
      </c>
    </row>
    <row r="77" spans="1:5" x14ac:dyDescent="0.3">
      <c r="A77">
        <v>289</v>
      </c>
      <c r="B77" t="s">
        <v>122</v>
      </c>
      <c r="C77" t="s">
        <v>198</v>
      </c>
      <c r="D77" t="s">
        <v>310</v>
      </c>
      <c r="E77">
        <v>45</v>
      </c>
    </row>
    <row r="78" spans="1:5" x14ac:dyDescent="0.3">
      <c r="A78">
        <v>704</v>
      </c>
      <c r="B78" t="s">
        <v>311</v>
      </c>
      <c r="C78" t="s">
        <v>216</v>
      </c>
      <c r="D78" t="s">
        <v>265</v>
      </c>
      <c r="E78">
        <v>201</v>
      </c>
    </row>
    <row r="79" spans="1:5" x14ac:dyDescent="0.3">
      <c r="A79">
        <v>903</v>
      </c>
      <c r="B79" t="s">
        <v>65</v>
      </c>
      <c r="C79" t="s">
        <v>263</v>
      </c>
      <c r="D79" t="s">
        <v>310</v>
      </c>
      <c r="E79">
        <v>564</v>
      </c>
    </row>
    <row r="80" spans="1:5" x14ac:dyDescent="0.3">
      <c r="A80">
        <v>315</v>
      </c>
      <c r="B80" t="s">
        <v>166</v>
      </c>
      <c r="C80" t="s">
        <v>198</v>
      </c>
      <c r="D80" t="s">
        <v>285</v>
      </c>
      <c r="E80">
        <v>138</v>
      </c>
    </row>
    <row r="81" spans="1:5" x14ac:dyDescent="0.3">
      <c r="A81">
        <v>501</v>
      </c>
      <c r="B81" t="s">
        <v>312</v>
      </c>
      <c r="C81" t="s">
        <v>223</v>
      </c>
      <c r="D81" t="s">
        <v>250</v>
      </c>
      <c r="E81">
        <v>57</v>
      </c>
    </row>
    <row r="82" spans="1:5" x14ac:dyDescent="0.3">
      <c r="A82">
        <v>812</v>
      </c>
      <c r="B82" t="s">
        <v>313</v>
      </c>
      <c r="C82" t="s">
        <v>196</v>
      </c>
      <c r="D82" t="s">
        <v>210</v>
      </c>
      <c r="E82">
        <v>128</v>
      </c>
    </row>
    <row r="83" spans="1:5" x14ac:dyDescent="0.3">
      <c r="A83">
        <v>953</v>
      </c>
      <c r="B83" t="s">
        <v>39</v>
      </c>
      <c r="C83" t="s">
        <v>305</v>
      </c>
      <c r="D83" t="s">
        <v>202</v>
      </c>
      <c r="E83">
        <v>33</v>
      </c>
    </row>
    <row r="84" spans="1:5" x14ac:dyDescent="0.3">
      <c r="A84">
        <v>830</v>
      </c>
      <c r="B84" t="s">
        <v>273</v>
      </c>
      <c r="C84" t="s">
        <v>314</v>
      </c>
      <c r="D84" t="s">
        <v>199</v>
      </c>
      <c r="E84">
        <v>936</v>
      </c>
    </row>
    <row r="85" spans="1:5" x14ac:dyDescent="0.3">
      <c r="A85">
        <v>656</v>
      </c>
      <c r="B85" t="s">
        <v>315</v>
      </c>
      <c r="C85" t="s">
        <v>249</v>
      </c>
      <c r="D85" t="s">
        <v>294</v>
      </c>
      <c r="E85">
        <v>762</v>
      </c>
    </row>
    <row r="86" spans="1:5" x14ac:dyDescent="0.3">
      <c r="A86">
        <v>935</v>
      </c>
      <c r="B86" t="s">
        <v>316</v>
      </c>
      <c r="C86" t="s">
        <v>253</v>
      </c>
      <c r="D86" t="s">
        <v>262</v>
      </c>
      <c r="E86">
        <v>838</v>
      </c>
    </row>
    <row r="87" spans="1:5" x14ac:dyDescent="0.3">
      <c r="A87">
        <v>762</v>
      </c>
      <c r="B87" t="s">
        <v>317</v>
      </c>
      <c r="C87" t="s">
        <v>196</v>
      </c>
      <c r="D87" t="s">
        <v>224</v>
      </c>
      <c r="E87">
        <v>215</v>
      </c>
    </row>
    <row r="88" spans="1:5" x14ac:dyDescent="0.3">
      <c r="A88">
        <v>698</v>
      </c>
      <c r="B88" t="s">
        <v>143</v>
      </c>
      <c r="C88" t="s">
        <v>214</v>
      </c>
      <c r="D88" t="s">
        <v>248</v>
      </c>
      <c r="E88">
        <v>818</v>
      </c>
    </row>
    <row r="89" spans="1:5" x14ac:dyDescent="0.3">
      <c r="A89">
        <v>294</v>
      </c>
      <c r="B89" t="s">
        <v>318</v>
      </c>
      <c r="C89" t="s">
        <v>289</v>
      </c>
      <c r="D89" t="s">
        <v>293</v>
      </c>
      <c r="E89">
        <v>780</v>
      </c>
    </row>
    <row r="90" spans="1:5" x14ac:dyDescent="0.3">
      <c r="A90">
        <v>535</v>
      </c>
      <c r="B90" t="s">
        <v>74</v>
      </c>
      <c r="C90" t="s">
        <v>201</v>
      </c>
      <c r="D90" t="s">
        <v>240</v>
      </c>
      <c r="E90">
        <v>40</v>
      </c>
    </row>
    <row r="91" spans="1:5" x14ac:dyDescent="0.3">
      <c r="A91">
        <v>357</v>
      </c>
      <c r="B91" t="s">
        <v>319</v>
      </c>
      <c r="C91" t="s">
        <v>305</v>
      </c>
      <c r="D91" t="s">
        <v>306</v>
      </c>
      <c r="E91">
        <v>366</v>
      </c>
    </row>
    <row r="92" spans="1:5" x14ac:dyDescent="0.3">
      <c r="A92">
        <v>468</v>
      </c>
      <c r="B92" t="s">
        <v>320</v>
      </c>
      <c r="C92" t="s">
        <v>203</v>
      </c>
      <c r="D92" t="s">
        <v>321</v>
      </c>
      <c r="E92">
        <v>678</v>
      </c>
    </row>
    <row r="93" spans="1:5" x14ac:dyDescent="0.3">
      <c r="A93">
        <v>798</v>
      </c>
      <c r="B93" t="s">
        <v>322</v>
      </c>
      <c r="C93" t="s">
        <v>247</v>
      </c>
      <c r="D93" t="s">
        <v>294</v>
      </c>
      <c r="E93">
        <v>703</v>
      </c>
    </row>
    <row r="94" spans="1:5" x14ac:dyDescent="0.3">
      <c r="A94">
        <v>497</v>
      </c>
      <c r="B94" t="s">
        <v>323</v>
      </c>
      <c r="C94" t="s">
        <v>258</v>
      </c>
      <c r="D94" t="s">
        <v>224</v>
      </c>
      <c r="E94">
        <v>180</v>
      </c>
    </row>
    <row r="95" spans="1:5" x14ac:dyDescent="0.3">
      <c r="A95">
        <v>841</v>
      </c>
      <c r="B95" t="s">
        <v>324</v>
      </c>
      <c r="C95" t="s">
        <v>220</v>
      </c>
      <c r="D95" t="s">
        <v>224</v>
      </c>
      <c r="E95">
        <v>214</v>
      </c>
    </row>
    <row r="96" spans="1:5" x14ac:dyDescent="0.3">
      <c r="A96">
        <v>521</v>
      </c>
      <c r="B96" t="s">
        <v>325</v>
      </c>
      <c r="C96" t="s">
        <v>229</v>
      </c>
      <c r="D96" t="s">
        <v>212</v>
      </c>
      <c r="E96">
        <v>408</v>
      </c>
    </row>
    <row r="97" spans="1:5" x14ac:dyDescent="0.3">
      <c r="A97">
        <v>2</v>
      </c>
      <c r="B97" t="s">
        <v>326</v>
      </c>
      <c r="C97" t="s">
        <v>201</v>
      </c>
      <c r="D97" t="s">
        <v>271</v>
      </c>
      <c r="E97">
        <v>902</v>
      </c>
    </row>
    <row r="98" spans="1:5" x14ac:dyDescent="0.3">
      <c r="A98">
        <v>637</v>
      </c>
      <c r="B98" t="s">
        <v>317</v>
      </c>
      <c r="C98" t="s">
        <v>236</v>
      </c>
      <c r="D98" t="s">
        <v>327</v>
      </c>
      <c r="E98">
        <v>763</v>
      </c>
    </row>
    <row r="99" spans="1:5" x14ac:dyDescent="0.3">
      <c r="A99">
        <v>407</v>
      </c>
      <c r="B99" t="s">
        <v>328</v>
      </c>
      <c r="C99" t="s">
        <v>206</v>
      </c>
      <c r="D99" t="s">
        <v>282</v>
      </c>
      <c r="E99">
        <v>168</v>
      </c>
    </row>
    <row r="100" spans="1:5" x14ac:dyDescent="0.3">
      <c r="A100">
        <v>87</v>
      </c>
      <c r="B100" t="s">
        <v>217</v>
      </c>
      <c r="C100" t="s">
        <v>206</v>
      </c>
      <c r="D100" t="s">
        <v>265</v>
      </c>
      <c r="E100">
        <v>723</v>
      </c>
    </row>
    <row r="101" spans="1:5" x14ac:dyDescent="0.3">
      <c r="A101">
        <v>894</v>
      </c>
      <c r="B101" t="s">
        <v>329</v>
      </c>
      <c r="C101" t="s">
        <v>236</v>
      </c>
      <c r="D101" t="s">
        <v>207</v>
      </c>
      <c r="E101">
        <v>438</v>
      </c>
    </row>
    <row r="102" spans="1:5" x14ac:dyDescent="0.3">
      <c r="A102">
        <v>708</v>
      </c>
      <c r="B102" t="s">
        <v>235</v>
      </c>
      <c r="C102" t="s">
        <v>236</v>
      </c>
      <c r="D102" t="s">
        <v>224</v>
      </c>
      <c r="E102">
        <v>162</v>
      </c>
    </row>
    <row r="103" spans="1:5" x14ac:dyDescent="0.3">
      <c r="A103">
        <v>311</v>
      </c>
      <c r="B103" t="s">
        <v>330</v>
      </c>
      <c r="C103" t="s">
        <v>220</v>
      </c>
      <c r="D103" t="s">
        <v>224</v>
      </c>
      <c r="E103">
        <v>246</v>
      </c>
    </row>
    <row r="104" spans="1:5" x14ac:dyDescent="0.3">
      <c r="A104">
        <v>888</v>
      </c>
      <c r="B104" t="s">
        <v>331</v>
      </c>
      <c r="C104" t="s">
        <v>258</v>
      </c>
      <c r="D104" t="s">
        <v>224</v>
      </c>
      <c r="E104">
        <v>105</v>
      </c>
    </row>
    <row r="105" spans="1:5" x14ac:dyDescent="0.3">
      <c r="A105">
        <v>678</v>
      </c>
      <c r="B105" t="s">
        <v>332</v>
      </c>
      <c r="C105" t="s">
        <v>266</v>
      </c>
      <c r="D105" t="s">
        <v>248</v>
      </c>
      <c r="E105">
        <v>308</v>
      </c>
    </row>
    <row r="106" spans="1:5" x14ac:dyDescent="0.3">
      <c r="A106">
        <v>734</v>
      </c>
      <c r="B106" t="s">
        <v>333</v>
      </c>
      <c r="C106" t="s">
        <v>239</v>
      </c>
      <c r="D106" t="s">
        <v>234</v>
      </c>
      <c r="E106">
        <v>172</v>
      </c>
    </row>
    <row r="107" spans="1:5" x14ac:dyDescent="0.3">
      <c r="A107">
        <v>640</v>
      </c>
      <c r="B107" t="s">
        <v>334</v>
      </c>
      <c r="C107" t="s">
        <v>236</v>
      </c>
      <c r="D107" t="s">
        <v>250</v>
      </c>
      <c r="E107">
        <v>775</v>
      </c>
    </row>
    <row r="108" spans="1:5" x14ac:dyDescent="0.3">
      <c r="A108">
        <v>189</v>
      </c>
      <c r="B108" t="s">
        <v>335</v>
      </c>
      <c r="C108" t="s">
        <v>302</v>
      </c>
      <c r="D108" t="s">
        <v>262</v>
      </c>
      <c r="E108">
        <v>333</v>
      </c>
    </row>
    <row r="109" spans="1:5" x14ac:dyDescent="0.3">
      <c r="A109">
        <v>685</v>
      </c>
      <c r="B109" t="s">
        <v>336</v>
      </c>
      <c r="C109" t="s">
        <v>214</v>
      </c>
      <c r="D109" t="s">
        <v>293</v>
      </c>
      <c r="E109">
        <v>548</v>
      </c>
    </row>
    <row r="110" spans="1:5" x14ac:dyDescent="0.3">
      <c r="A110">
        <v>617</v>
      </c>
      <c r="B110" t="s">
        <v>180</v>
      </c>
      <c r="C110" t="s">
        <v>263</v>
      </c>
      <c r="D110" t="s">
        <v>306</v>
      </c>
      <c r="E110">
        <v>665</v>
      </c>
    </row>
    <row r="111" spans="1:5" x14ac:dyDescent="0.3">
      <c r="A111">
        <v>508</v>
      </c>
      <c r="B111" t="s">
        <v>337</v>
      </c>
      <c r="C111" t="s">
        <v>258</v>
      </c>
      <c r="D111" t="s">
        <v>338</v>
      </c>
      <c r="E111">
        <v>305</v>
      </c>
    </row>
    <row r="112" spans="1:5" x14ac:dyDescent="0.3">
      <c r="A112">
        <v>406</v>
      </c>
      <c r="B112" t="s">
        <v>259</v>
      </c>
      <c r="C112" t="s">
        <v>249</v>
      </c>
      <c r="D112" t="s">
        <v>303</v>
      </c>
      <c r="E112">
        <v>938</v>
      </c>
    </row>
    <row r="113" spans="1:5" x14ac:dyDescent="0.3">
      <c r="A113">
        <v>132</v>
      </c>
      <c r="B113" t="s">
        <v>339</v>
      </c>
      <c r="C113" t="s">
        <v>253</v>
      </c>
      <c r="D113" t="s">
        <v>248</v>
      </c>
      <c r="E113">
        <v>714</v>
      </c>
    </row>
    <row r="114" spans="1:5" x14ac:dyDescent="0.3">
      <c r="A114">
        <v>785</v>
      </c>
      <c r="B114" t="s">
        <v>340</v>
      </c>
      <c r="C114" t="s">
        <v>196</v>
      </c>
      <c r="D114" t="s">
        <v>250</v>
      </c>
      <c r="E114">
        <v>251</v>
      </c>
    </row>
    <row r="115" spans="1:5" x14ac:dyDescent="0.3">
      <c r="A115">
        <v>113</v>
      </c>
      <c r="B115" t="s">
        <v>341</v>
      </c>
      <c r="C115" t="s">
        <v>261</v>
      </c>
      <c r="D115" t="s">
        <v>342</v>
      </c>
      <c r="E115">
        <v>330</v>
      </c>
    </row>
    <row r="116" spans="1:5" x14ac:dyDescent="0.3">
      <c r="A116">
        <v>951</v>
      </c>
      <c r="B116" t="s">
        <v>88</v>
      </c>
      <c r="C116" t="s">
        <v>196</v>
      </c>
      <c r="D116" t="s">
        <v>243</v>
      </c>
      <c r="E116">
        <v>69</v>
      </c>
    </row>
    <row r="117" spans="1:5" x14ac:dyDescent="0.3">
      <c r="A117">
        <v>169</v>
      </c>
      <c r="B117" t="s">
        <v>343</v>
      </c>
      <c r="C117" t="s">
        <v>226</v>
      </c>
      <c r="D117" t="s">
        <v>285</v>
      </c>
      <c r="E117">
        <v>969</v>
      </c>
    </row>
    <row r="118" spans="1:5" x14ac:dyDescent="0.3">
      <c r="A118">
        <v>984</v>
      </c>
      <c r="B118" t="s">
        <v>344</v>
      </c>
      <c r="C118" t="s">
        <v>226</v>
      </c>
      <c r="D118" t="s">
        <v>212</v>
      </c>
      <c r="E118">
        <v>974</v>
      </c>
    </row>
    <row r="119" spans="1:5" x14ac:dyDescent="0.3">
      <c r="A119">
        <v>881</v>
      </c>
      <c r="B119" t="s">
        <v>345</v>
      </c>
      <c r="C119" t="s">
        <v>247</v>
      </c>
      <c r="D119" t="s">
        <v>254</v>
      </c>
      <c r="E119">
        <v>526</v>
      </c>
    </row>
    <row r="120" spans="1:5" x14ac:dyDescent="0.3">
      <c r="A120">
        <v>883</v>
      </c>
      <c r="B120" t="s">
        <v>346</v>
      </c>
      <c r="C120" t="s">
        <v>214</v>
      </c>
      <c r="D120" t="s">
        <v>347</v>
      </c>
      <c r="E120">
        <v>510</v>
      </c>
    </row>
    <row r="121" spans="1:5" x14ac:dyDescent="0.3">
      <c r="A121">
        <v>735</v>
      </c>
      <c r="B121" t="s">
        <v>251</v>
      </c>
      <c r="C121" t="s">
        <v>209</v>
      </c>
      <c r="D121" t="s">
        <v>234</v>
      </c>
      <c r="E121">
        <v>444</v>
      </c>
    </row>
    <row r="122" spans="1:5" x14ac:dyDescent="0.3">
      <c r="A122">
        <v>120</v>
      </c>
      <c r="B122" t="s">
        <v>348</v>
      </c>
      <c r="C122" t="s">
        <v>201</v>
      </c>
      <c r="D122" t="s">
        <v>349</v>
      </c>
      <c r="E122">
        <v>503</v>
      </c>
    </row>
    <row r="123" spans="1:5" x14ac:dyDescent="0.3">
      <c r="A123">
        <v>92</v>
      </c>
      <c r="B123" t="s">
        <v>350</v>
      </c>
      <c r="C123" t="s">
        <v>302</v>
      </c>
      <c r="D123" t="s">
        <v>197</v>
      </c>
      <c r="E123">
        <v>109</v>
      </c>
    </row>
    <row r="124" spans="1:5" x14ac:dyDescent="0.3">
      <c r="A124">
        <v>618</v>
      </c>
      <c r="B124" t="s">
        <v>332</v>
      </c>
      <c r="C124" t="s">
        <v>247</v>
      </c>
      <c r="D124" t="s">
        <v>306</v>
      </c>
      <c r="E124">
        <v>823</v>
      </c>
    </row>
    <row r="125" spans="1:5" x14ac:dyDescent="0.3">
      <c r="A125">
        <v>768</v>
      </c>
      <c r="B125" t="s">
        <v>351</v>
      </c>
      <c r="C125" t="s">
        <v>201</v>
      </c>
      <c r="D125" t="s">
        <v>197</v>
      </c>
      <c r="E125">
        <v>147</v>
      </c>
    </row>
    <row r="126" spans="1:5" x14ac:dyDescent="0.3">
      <c r="A126">
        <v>619</v>
      </c>
      <c r="B126" t="s">
        <v>352</v>
      </c>
      <c r="C126" t="s">
        <v>209</v>
      </c>
      <c r="D126" t="s">
        <v>265</v>
      </c>
      <c r="E126">
        <v>625</v>
      </c>
    </row>
    <row r="127" spans="1:5" x14ac:dyDescent="0.3">
      <c r="A127">
        <v>393</v>
      </c>
      <c r="B127" t="s">
        <v>174</v>
      </c>
      <c r="C127" t="s">
        <v>247</v>
      </c>
      <c r="D127" t="s">
        <v>197</v>
      </c>
      <c r="E127">
        <v>695</v>
      </c>
    </row>
    <row r="128" spans="1:5" x14ac:dyDescent="0.3">
      <c r="A128">
        <v>127</v>
      </c>
      <c r="B128" t="s">
        <v>174</v>
      </c>
      <c r="C128" t="s">
        <v>239</v>
      </c>
      <c r="D128" t="s">
        <v>240</v>
      </c>
      <c r="E128">
        <v>983</v>
      </c>
    </row>
    <row r="129" spans="1:5" x14ac:dyDescent="0.3">
      <c r="A129">
        <v>329</v>
      </c>
      <c r="B129" t="s">
        <v>353</v>
      </c>
      <c r="C129" t="s">
        <v>289</v>
      </c>
      <c r="D129" t="s">
        <v>240</v>
      </c>
      <c r="E129">
        <v>82</v>
      </c>
    </row>
    <row r="130" spans="1:5" x14ac:dyDescent="0.3">
      <c r="A130">
        <v>839</v>
      </c>
      <c r="B130" t="s">
        <v>354</v>
      </c>
      <c r="C130" t="s">
        <v>239</v>
      </c>
      <c r="D130" t="s">
        <v>306</v>
      </c>
      <c r="E130">
        <v>397</v>
      </c>
    </row>
    <row r="131" spans="1:5" x14ac:dyDescent="0.3">
      <c r="A131">
        <v>787</v>
      </c>
      <c r="B131" t="s">
        <v>350</v>
      </c>
      <c r="C131" t="s">
        <v>233</v>
      </c>
      <c r="D131" t="s">
        <v>310</v>
      </c>
      <c r="E131">
        <v>599</v>
      </c>
    </row>
    <row r="132" spans="1:5" x14ac:dyDescent="0.3">
      <c r="A132">
        <v>658</v>
      </c>
      <c r="B132" t="s">
        <v>37</v>
      </c>
      <c r="C132" t="s">
        <v>247</v>
      </c>
      <c r="D132" t="s">
        <v>306</v>
      </c>
      <c r="E132">
        <v>306</v>
      </c>
    </row>
    <row r="133" spans="1:5" x14ac:dyDescent="0.3">
      <c r="A133">
        <v>302</v>
      </c>
      <c r="B133" t="s">
        <v>355</v>
      </c>
      <c r="C133" t="s">
        <v>289</v>
      </c>
      <c r="D133" t="s">
        <v>240</v>
      </c>
      <c r="E133">
        <v>536</v>
      </c>
    </row>
    <row r="134" spans="1:5" x14ac:dyDescent="0.3">
      <c r="A134">
        <v>959</v>
      </c>
      <c r="B134" t="s">
        <v>356</v>
      </c>
      <c r="C134" t="s">
        <v>223</v>
      </c>
      <c r="D134" t="s">
        <v>282</v>
      </c>
      <c r="E134">
        <v>20</v>
      </c>
    </row>
    <row r="135" spans="1:5" x14ac:dyDescent="0.3">
      <c r="A135">
        <v>467</v>
      </c>
      <c r="B135" t="s">
        <v>357</v>
      </c>
      <c r="C135" t="s">
        <v>209</v>
      </c>
      <c r="D135" t="s">
        <v>306</v>
      </c>
      <c r="E135">
        <v>515</v>
      </c>
    </row>
    <row r="136" spans="1:5" x14ac:dyDescent="0.3">
      <c r="A136">
        <v>642</v>
      </c>
      <c r="B136" t="s">
        <v>358</v>
      </c>
      <c r="C136" t="s">
        <v>209</v>
      </c>
      <c r="D136" t="s">
        <v>250</v>
      </c>
      <c r="E136">
        <v>332</v>
      </c>
    </row>
    <row r="137" spans="1:5" x14ac:dyDescent="0.3">
      <c r="A137">
        <v>472</v>
      </c>
      <c r="B137" t="s">
        <v>359</v>
      </c>
      <c r="C137" t="s">
        <v>203</v>
      </c>
      <c r="D137" t="s">
        <v>338</v>
      </c>
      <c r="E137">
        <v>127</v>
      </c>
    </row>
    <row r="138" spans="1:5" x14ac:dyDescent="0.3">
      <c r="A138">
        <v>700</v>
      </c>
      <c r="B138" t="s">
        <v>360</v>
      </c>
      <c r="C138" t="s">
        <v>216</v>
      </c>
      <c r="D138" t="s">
        <v>293</v>
      </c>
      <c r="E138">
        <v>958</v>
      </c>
    </row>
    <row r="139" spans="1:5" x14ac:dyDescent="0.3">
      <c r="A139">
        <v>305</v>
      </c>
      <c r="B139" t="s">
        <v>71</v>
      </c>
      <c r="C139" t="s">
        <v>253</v>
      </c>
      <c r="D139" t="s">
        <v>207</v>
      </c>
      <c r="E139">
        <v>42</v>
      </c>
    </row>
    <row r="140" spans="1:5" x14ac:dyDescent="0.3">
      <c r="A140">
        <v>676</v>
      </c>
      <c r="B140" t="s">
        <v>361</v>
      </c>
      <c r="C140" t="s">
        <v>211</v>
      </c>
      <c r="D140" t="s">
        <v>362</v>
      </c>
      <c r="E140">
        <v>977</v>
      </c>
    </row>
    <row r="141" spans="1:5" x14ac:dyDescent="0.3">
      <c r="A141">
        <v>602</v>
      </c>
      <c r="B141" t="s">
        <v>363</v>
      </c>
      <c r="C141" t="s">
        <v>266</v>
      </c>
      <c r="D141" t="s">
        <v>291</v>
      </c>
      <c r="E141">
        <v>460</v>
      </c>
    </row>
    <row r="142" spans="1:5" x14ac:dyDescent="0.3">
      <c r="A142">
        <v>175</v>
      </c>
      <c r="B142" t="s">
        <v>364</v>
      </c>
      <c r="C142" t="s">
        <v>223</v>
      </c>
      <c r="D142" t="s">
        <v>240</v>
      </c>
      <c r="E142">
        <v>659</v>
      </c>
    </row>
    <row r="143" spans="1:5" x14ac:dyDescent="0.3">
      <c r="A143">
        <v>679</v>
      </c>
      <c r="B143" t="s">
        <v>61</v>
      </c>
      <c r="C143" t="s">
        <v>258</v>
      </c>
      <c r="D143" t="s">
        <v>199</v>
      </c>
      <c r="E143">
        <v>197</v>
      </c>
    </row>
    <row r="144" spans="1:5" x14ac:dyDescent="0.3">
      <c r="A144">
        <v>412</v>
      </c>
      <c r="B144" t="s">
        <v>278</v>
      </c>
      <c r="C144" t="s">
        <v>209</v>
      </c>
      <c r="D144" t="s">
        <v>202</v>
      </c>
      <c r="E144">
        <v>540</v>
      </c>
    </row>
    <row r="145" spans="1:5" x14ac:dyDescent="0.3">
      <c r="A145">
        <v>486</v>
      </c>
      <c r="B145" t="s">
        <v>365</v>
      </c>
      <c r="C145" t="s">
        <v>258</v>
      </c>
      <c r="D145" t="s">
        <v>293</v>
      </c>
      <c r="E145">
        <v>178</v>
      </c>
    </row>
    <row r="146" spans="1:5" x14ac:dyDescent="0.3">
      <c r="A146">
        <v>899</v>
      </c>
      <c r="B146" t="s">
        <v>366</v>
      </c>
      <c r="C146" t="s">
        <v>239</v>
      </c>
      <c r="D146" t="s">
        <v>250</v>
      </c>
      <c r="E146">
        <v>202</v>
      </c>
    </row>
    <row r="147" spans="1:5" x14ac:dyDescent="0.3">
      <c r="A147">
        <v>123</v>
      </c>
      <c r="B147" t="s">
        <v>367</v>
      </c>
      <c r="C147" t="s">
        <v>223</v>
      </c>
      <c r="D147" t="s">
        <v>207</v>
      </c>
      <c r="E147">
        <v>632</v>
      </c>
    </row>
    <row r="148" spans="1:5" x14ac:dyDescent="0.3">
      <c r="A148">
        <v>180</v>
      </c>
      <c r="B148" t="s">
        <v>60</v>
      </c>
      <c r="C148" t="s">
        <v>223</v>
      </c>
      <c r="D148" t="s">
        <v>293</v>
      </c>
      <c r="E148">
        <v>25</v>
      </c>
    </row>
    <row r="149" spans="1:5" x14ac:dyDescent="0.3">
      <c r="A149">
        <v>433</v>
      </c>
      <c r="B149" t="s">
        <v>60</v>
      </c>
      <c r="C149" t="s">
        <v>203</v>
      </c>
      <c r="D149" t="s">
        <v>368</v>
      </c>
      <c r="E149">
        <v>990</v>
      </c>
    </row>
    <row r="150" spans="1:5" x14ac:dyDescent="0.3">
      <c r="A150">
        <v>244</v>
      </c>
      <c r="B150" t="s">
        <v>369</v>
      </c>
      <c r="C150" t="s">
        <v>203</v>
      </c>
      <c r="D150" t="s">
        <v>306</v>
      </c>
      <c r="E150">
        <v>913</v>
      </c>
    </row>
    <row r="151" spans="1:5" x14ac:dyDescent="0.3">
      <c r="A151">
        <v>147</v>
      </c>
      <c r="B151" t="s">
        <v>58</v>
      </c>
      <c r="C151" t="s">
        <v>236</v>
      </c>
      <c r="D151" t="s">
        <v>248</v>
      </c>
      <c r="E151">
        <v>371</v>
      </c>
    </row>
    <row r="152" spans="1:5" x14ac:dyDescent="0.3">
      <c r="A152">
        <v>634</v>
      </c>
      <c r="B152" t="s">
        <v>264</v>
      </c>
      <c r="C152" t="s">
        <v>209</v>
      </c>
      <c r="D152" t="s">
        <v>243</v>
      </c>
      <c r="E152">
        <v>514</v>
      </c>
    </row>
    <row r="153" spans="1:5" x14ac:dyDescent="0.3">
      <c r="A153">
        <v>999</v>
      </c>
      <c r="B153" t="s">
        <v>370</v>
      </c>
      <c r="C153" t="s">
        <v>233</v>
      </c>
      <c r="D153" t="s">
        <v>342</v>
      </c>
      <c r="E153">
        <v>707</v>
      </c>
    </row>
    <row r="154" spans="1:5" x14ac:dyDescent="0.3">
      <c r="A154">
        <v>477</v>
      </c>
      <c r="B154" t="s">
        <v>371</v>
      </c>
      <c r="C154" t="s">
        <v>233</v>
      </c>
      <c r="D154" t="s">
        <v>338</v>
      </c>
      <c r="E154">
        <v>473</v>
      </c>
    </row>
    <row r="155" spans="1:5" x14ac:dyDescent="0.3">
      <c r="A155">
        <v>746</v>
      </c>
      <c r="B155" t="s">
        <v>134</v>
      </c>
      <c r="C155" t="s">
        <v>263</v>
      </c>
      <c r="D155" t="s">
        <v>306</v>
      </c>
      <c r="E155">
        <v>847</v>
      </c>
    </row>
    <row r="156" spans="1:5" x14ac:dyDescent="0.3">
      <c r="A156">
        <v>287</v>
      </c>
      <c r="B156" t="s">
        <v>372</v>
      </c>
      <c r="C156" t="s">
        <v>258</v>
      </c>
      <c r="D156" t="s">
        <v>373</v>
      </c>
      <c r="E156">
        <v>815</v>
      </c>
    </row>
    <row r="157" spans="1:5" x14ac:dyDescent="0.3">
      <c r="A157">
        <v>310</v>
      </c>
      <c r="B157" t="s">
        <v>374</v>
      </c>
      <c r="C157" t="s">
        <v>305</v>
      </c>
      <c r="D157" t="s">
        <v>240</v>
      </c>
      <c r="E157">
        <v>928</v>
      </c>
    </row>
    <row r="158" spans="1:5" x14ac:dyDescent="0.3">
      <c r="A158">
        <v>889</v>
      </c>
      <c r="B158" t="s">
        <v>375</v>
      </c>
      <c r="C158" t="s">
        <v>203</v>
      </c>
      <c r="D158" t="s">
        <v>245</v>
      </c>
      <c r="E158">
        <v>210</v>
      </c>
    </row>
    <row r="159" spans="1:5" x14ac:dyDescent="0.3">
      <c r="A159">
        <v>512</v>
      </c>
      <c r="B159" t="s">
        <v>376</v>
      </c>
      <c r="C159" t="s">
        <v>261</v>
      </c>
      <c r="D159" t="s">
        <v>210</v>
      </c>
      <c r="E159">
        <v>793</v>
      </c>
    </row>
    <row r="160" spans="1:5" x14ac:dyDescent="0.3">
      <c r="A160">
        <v>693</v>
      </c>
      <c r="B160" t="s">
        <v>377</v>
      </c>
      <c r="C160" t="s">
        <v>206</v>
      </c>
      <c r="D160" t="s">
        <v>303</v>
      </c>
      <c r="E160">
        <v>872</v>
      </c>
    </row>
    <row r="161" spans="1:5" x14ac:dyDescent="0.3">
      <c r="A161">
        <v>670</v>
      </c>
      <c r="B161" t="s">
        <v>181</v>
      </c>
      <c r="C161" t="s">
        <v>223</v>
      </c>
      <c r="D161" t="s">
        <v>285</v>
      </c>
      <c r="E161">
        <v>298</v>
      </c>
    </row>
    <row r="162" spans="1:5" x14ac:dyDescent="0.3">
      <c r="A162">
        <v>238</v>
      </c>
      <c r="B162" t="s">
        <v>378</v>
      </c>
      <c r="C162" t="s">
        <v>211</v>
      </c>
      <c r="D162" t="s">
        <v>210</v>
      </c>
      <c r="E162">
        <v>941</v>
      </c>
    </row>
    <row r="163" spans="1:5" x14ac:dyDescent="0.3">
      <c r="A163">
        <v>400</v>
      </c>
      <c r="B163" t="s">
        <v>379</v>
      </c>
      <c r="C163" t="s">
        <v>211</v>
      </c>
      <c r="D163" t="s">
        <v>380</v>
      </c>
      <c r="E163">
        <v>731</v>
      </c>
    </row>
    <row r="164" spans="1:5" x14ac:dyDescent="0.3">
      <c r="A164">
        <v>398</v>
      </c>
      <c r="B164" t="s">
        <v>381</v>
      </c>
      <c r="C164" t="s">
        <v>289</v>
      </c>
      <c r="D164" t="s">
        <v>207</v>
      </c>
      <c r="E164">
        <v>500</v>
      </c>
    </row>
    <row r="165" spans="1:5" x14ac:dyDescent="0.3">
      <c r="A165">
        <v>955</v>
      </c>
      <c r="B165" t="s">
        <v>130</v>
      </c>
      <c r="C165" t="s">
        <v>258</v>
      </c>
      <c r="D165" t="s">
        <v>306</v>
      </c>
      <c r="E165">
        <v>142</v>
      </c>
    </row>
    <row r="166" spans="1:5" x14ac:dyDescent="0.3">
      <c r="A166">
        <v>193</v>
      </c>
      <c r="B166" t="s">
        <v>382</v>
      </c>
      <c r="C166" t="s">
        <v>203</v>
      </c>
      <c r="D166" t="s">
        <v>250</v>
      </c>
      <c r="E166">
        <v>787</v>
      </c>
    </row>
    <row r="167" spans="1:5" x14ac:dyDescent="0.3">
      <c r="A167">
        <v>33</v>
      </c>
      <c r="B167" t="s">
        <v>66</v>
      </c>
      <c r="C167" t="s">
        <v>263</v>
      </c>
      <c r="D167" t="s">
        <v>199</v>
      </c>
      <c r="E167">
        <v>749</v>
      </c>
    </row>
    <row r="168" spans="1:5" x14ac:dyDescent="0.3">
      <c r="A168">
        <v>786</v>
      </c>
      <c r="B168" t="s">
        <v>367</v>
      </c>
      <c r="C168" t="s">
        <v>249</v>
      </c>
      <c r="D168" t="s">
        <v>202</v>
      </c>
      <c r="E168">
        <v>304</v>
      </c>
    </row>
    <row r="169" spans="1:5" x14ac:dyDescent="0.3">
      <c r="A169">
        <v>811</v>
      </c>
      <c r="B169" t="s">
        <v>383</v>
      </c>
      <c r="C169" t="s">
        <v>201</v>
      </c>
      <c r="D169" t="s">
        <v>224</v>
      </c>
      <c r="E169">
        <v>30</v>
      </c>
    </row>
    <row r="170" spans="1:5" x14ac:dyDescent="0.3">
      <c r="A170">
        <v>615</v>
      </c>
      <c r="B170" t="s">
        <v>384</v>
      </c>
      <c r="C170" t="s">
        <v>258</v>
      </c>
      <c r="D170" t="s">
        <v>248</v>
      </c>
      <c r="E170">
        <v>477</v>
      </c>
    </row>
    <row r="171" spans="1:5" x14ac:dyDescent="0.3">
      <c r="A171">
        <v>18</v>
      </c>
      <c r="B171" t="s">
        <v>171</v>
      </c>
      <c r="C171" t="s">
        <v>209</v>
      </c>
      <c r="D171" t="s">
        <v>294</v>
      </c>
      <c r="E171">
        <v>52</v>
      </c>
    </row>
    <row r="172" spans="1:5" x14ac:dyDescent="0.3">
      <c r="A172">
        <v>114</v>
      </c>
      <c r="B172" t="s">
        <v>385</v>
      </c>
      <c r="C172" t="s">
        <v>203</v>
      </c>
      <c r="D172" t="s">
        <v>310</v>
      </c>
      <c r="E172">
        <v>73</v>
      </c>
    </row>
    <row r="173" spans="1:5" x14ac:dyDescent="0.3">
      <c r="A173">
        <v>340</v>
      </c>
      <c r="B173" t="s">
        <v>131</v>
      </c>
      <c r="C173" t="s">
        <v>261</v>
      </c>
      <c r="D173" t="s">
        <v>207</v>
      </c>
      <c r="E173">
        <v>691</v>
      </c>
    </row>
    <row r="174" spans="1:5" x14ac:dyDescent="0.3">
      <c r="A174">
        <v>649</v>
      </c>
      <c r="B174" t="s">
        <v>386</v>
      </c>
      <c r="C174" t="s">
        <v>198</v>
      </c>
      <c r="D174" t="s">
        <v>296</v>
      </c>
      <c r="E174">
        <v>786</v>
      </c>
    </row>
    <row r="175" spans="1:5" x14ac:dyDescent="0.3">
      <c r="A175">
        <v>778</v>
      </c>
      <c r="B175" t="s">
        <v>387</v>
      </c>
      <c r="C175" t="s">
        <v>196</v>
      </c>
      <c r="D175" t="s">
        <v>197</v>
      </c>
      <c r="E175">
        <v>68</v>
      </c>
    </row>
    <row r="176" spans="1:5" x14ac:dyDescent="0.3">
      <c r="A176">
        <v>885</v>
      </c>
      <c r="B176" t="s">
        <v>255</v>
      </c>
      <c r="C176" t="s">
        <v>226</v>
      </c>
      <c r="D176" t="s">
        <v>254</v>
      </c>
      <c r="E176">
        <v>630</v>
      </c>
    </row>
    <row r="177" spans="1:5" x14ac:dyDescent="0.3">
      <c r="A177">
        <v>69</v>
      </c>
      <c r="B177" t="s">
        <v>388</v>
      </c>
      <c r="C177" t="s">
        <v>196</v>
      </c>
      <c r="D177" t="s">
        <v>227</v>
      </c>
      <c r="E177">
        <v>357</v>
      </c>
    </row>
    <row r="178" spans="1:5" x14ac:dyDescent="0.3">
      <c r="A178">
        <v>288</v>
      </c>
      <c r="B178" t="s">
        <v>389</v>
      </c>
      <c r="C178" t="s">
        <v>229</v>
      </c>
      <c r="D178" t="s">
        <v>218</v>
      </c>
      <c r="E178">
        <v>455</v>
      </c>
    </row>
    <row r="179" spans="1:5" x14ac:dyDescent="0.3">
      <c r="A179">
        <v>898</v>
      </c>
      <c r="B179" t="s">
        <v>123</v>
      </c>
      <c r="C179" t="s">
        <v>233</v>
      </c>
      <c r="D179" t="s">
        <v>285</v>
      </c>
      <c r="E179">
        <v>947</v>
      </c>
    </row>
    <row r="180" spans="1:5" x14ac:dyDescent="0.3">
      <c r="A180">
        <v>473</v>
      </c>
      <c r="B180" t="s">
        <v>390</v>
      </c>
      <c r="C180" t="s">
        <v>236</v>
      </c>
      <c r="D180" t="s">
        <v>285</v>
      </c>
      <c r="E180">
        <v>589</v>
      </c>
    </row>
    <row r="181" spans="1:5" x14ac:dyDescent="0.3">
      <c r="A181">
        <v>23</v>
      </c>
      <c r="B181" t="s">
        <v>391</v>
      </c>
      <c r="C181" t="s">
        <v>220</v>
      </c>
      <c r="D181" t="s">
        <v>197</v>
      </c>
      <c r="E181">
        <v>863</v>
      </c>
    </row>
    <row r="182" spans="1:5" x14ac:dyDescent="0.3">
      <c r="A182">
        <v>505</v>
      </c>
      <c r="B182" t="s">
        <v>392</v>
      </c>
      <c r="C182" t="s">
        <v>214</v>
      </c>
      <c r="D182" t="s">
        <v>256</v>
      </c>
      <c r="E182">
        <v>668</v>
      </c>
    </row>
    <row r="183" spans="1:5" x14ac:dyDescent="0.3">
      <c r="A183">
        <v>401</v>
      </c>
      <c r="B183" t="s">
        <v>393</v>
      </c>
      <c r="C183" t="s">
        <v>201</v>
      </c>
      <c r="D183" t="s">
        <v>243</v>
      </c>
      <c r="E183">
        <v>206</v>
      </c>
    </row>
    <row r="184" spans="1:5" x14ac:dyDescent="0.3">
      <c r="A184">
        <v>988</v>
      </c>
      <c r="B184" t="s">
        <v>394</v>
      </c>
      <c r="C184" t="s">
        <v>216</v>
      </c>
      <c r="D184" t="s">
        <v>395</v>
      </c>
      <c r="E184">
        <v>835</v>
      </c>
    </row>
    <row r="185" spans="1:5" x14ac:dyDescent="0.3">
      <c r="A185">
        <v>493</v>
      </c>
      <c r="B185" t="s">
        <v>396</v>
      </c>
      <c r="C185" t="s">
        <v>201</v>
      </c>
      <c r="D185" t="s">
        <v>230</v>
      </c>
      <c r="E185">
        <v>315</v>
      </c>
    </row>
    <row r="186" spans="1:5" x14ac:dyDescent="0.3">
      <c r="A186">
        <v>432</v>
      </c>
      <c r="B186" t="s">
        <v>397</v>
      </c>
      <c r="C186" t="s">
        <v>198</v>
      </c>
      <c r="D186" t="s">
        <v>212</v>
      </c>
      <c r="E186">
        <v>553</v>
      </c>
    </row>
    <row r="187" spans="1:5" x14ac:dyDescent="0.3">
      <c r="A187">
        <v>948</v>
      </c>
      <c r="B187" t="s">
        <v>357</v>
      </c>
      <c r="C187" t="s">
        <v>198</v>
      </c>
      <c r="D187" t="s">
        <v>306</v>
      </c>
      <c r="E187">
        <v>861</v>
      </c>
    </row>
    <row r="188" spans="1:5" x14ac:dyDescent="0.3">
      <c r="A188">
        <v>821</v>
      </c>
      <c r="B188" t="s">
        <v>398</v>
      </c>
      <c r="C188" t="s">
        <v>229</v>
      </c>
      <c r="D188" t="s">
        <v>306</v>
      </c>
      <c r="E188">
        <v>279</v>
      </c>
    </row>
    <row r="189" spans="1:5" x14ac:dyDescent="0.3">
      <c r="A189">
        <v>435</v>
      </c>
      <c r="B189" t="s">
        <v>399</v>
      </c>
      <c r="C189" t="s">
        <v>247</v>
      </c>
      <c r="D189" t="s">
        <v>202</v>
      </c>
      <c r="E189">
        <v>75</v>
      </c>
    </row>
    <row r="190" spans="1:5" x14ac:dyDescent="0.3">
      <c r="A190">
        <v>11</v>
      </c>
      <c r="B190" t="s">
        <v>160</v>
      </c>
      <c r="C190" t="s">
        <v>239</v>
      </c>
      <c r="D190" t="s">
        <v>400</v>
      </c>
      <c r="E190">
        <v>895</v>
      </c>
    </row>
    <row r="191" spans="1:5" x14ac:dyDescent="0.3">
      <c r="A191">
        <v>204</v>
      </c>
      <c r="B191" t="s">
        <v>401</v>
      </c>
      <c r="C191" t="s">
        <v>261</v>
      </c>
      <c r="D191" t="s">
        <v>197</v>
      </c>
      <c r="E191">
        <v>866</v>
      </c>
    </row>
    <row r="192" spans="1:5" x14ac:dyDescent="0.3">
      <c r="A192">
        <v>332</v>
      </c>
      <c r="B192" t="s">
        <v>94</v>
      </c>
      <c r="C192" t="s">
        <v>211</v>
      </c>
      <c r="D192" t="s">
        <v>254</v>
      </c>
      <c r="E192">
        <v>792</v>
      </c>
    </row>
    <row r="193" spans="1:5" x14ac:dyDescent="0.3">
      <c r="A193">
        <v>179</v>
      </c>
      <c r="B193" t="s">
        <v>316</v>
      </c>
      <c r="C193" t="s">
        <v>226</v>
      </c>
      <c r="D193" t="s">
        <v>197</v>
      </c>
      <c r="E193">
        <v>191</v>
      </c>
    </row>
    <row r="194" spans="1:5" x14ac:dyDescent="0.3">
      <c r="A194">
        <v>503</v>
      </c>
      <c r="B194" t="s">
        <v>402</v>
      </c>
      <c r="C194" t="s">
        <v>261</v>
      </c>
      <c r="D194" t="s">
        <v>262</v>
      </c>
      <c r="E194">
        <v>59</v>
      </c>
    </row>
    <row r="195" spans="1:5" x14ac:dyDescent="0.3">
      <c r="A195">
        <v>431</v>
      </c>
      <c r="B195" t="s">
        <v>366</v>
      </c>
      <c r="C195" t="s">
        <v>302</v>
      </c>
      <c r="D195" t="s">
        <v>199</v>
      </c>
      <c r="E195">
        <v>748</v>
      </c>
    </row>
    <row r="196" spans="1:5" x14ac:dyDescent="0.3">
      <c r="A196">
        <v>865</v>
      </c>
      <c r="B196" t="s">
        <v>403</v>
      </c>
      <c r="C196" t="s">
        <v>261</v>
      </c>
      <c r="D196" t="s">
        <v>362</v>
      </c>
      <c r="E196">
        <v>693</v>
      </c>
    </row>
    <row r="197" spans="1:5" x14ac:dyDescent="0.3">
      <c r="A197">
        <v>874</v>
      </c>
      <c r="B197" t="s">
        <v>125</v>
      </c>
      <c r="C197" t="s">
        <v>233</v>
      </c>
      <c r="D197" t="s">
        <v>230</v>
      </c>
      <c r="E197">
        <v>955</v>
      </c>
    </row>
    <row r="198" spans="1:5" x14ac:dyDescent="0.3">
      <c r="A198">
        <v>513</v>
      </c>
      <c r="B198" t="s">
        <v>185</v>
      </c>
      <c r="C198" t="s">
        <v>249</v>
      </c>
      <c r="D198" t="s">
        <v>250</v>
      </c>
      <c r="E198">
        <v>538</v>
      </c>
    </row>
    <row r="199" spans="1:5" x14ac:dyDescent="0.3">
      <c r="A199">
        <v>814</v>
      </c>
      <c r="B199" t="s">
        <v>333</v>
      </c>
      <c r="C199" t="s">
        <v>314</v>
      </c>
      <c r="D199" t="s">
        <v>210</v>
      </c>
      <c r="E199">
        <v>169</v>
      </c>
    </row>
    <row r="200" spans="1:5" x14ac:dyDescent="0.3">
      <c r="A200">
        <v>236</v>
      </c>
      <c r="B200" t="s">
        <v>312</v>
      </c>
      <c r="C200" t="s">
        <v>258</v>
      </c>
      <c r="D200" t="s">
        <v>197</v>
      </c>
      <c r="E200">
        <v>924</v>
      </c>
    </row>
    <row r="201" spans="1:5" x14ac:dyDescent="0.3">
      <c r="A201">
        <v>957</v>
      </c>
      <c r="B201" t="s">
        <v>404</v>
      </c>
      <c r="C201" t="s">
        <v>233</v>
      </c>
      <c r="D201" t="s">
        <v>240</v>
      </c>
      <c r="E201">
        <v>579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D5CEA-4CAF-4BC9-9B9D-8CA24DC4EC81}">
  <dimension ref="A1:P202"/>
  <sheetViews>
    <sheetView zoomScale="90" zoomScaleNormal="90" workbookViewId="0">
      <selection sqref="A1:P201"/>
    </sheetView>
  </sheetViews>
  <sheetFormatPr defaultRowHeight="14.4" x14ac:dyDescent="0.3"/>
  <cols>
    <col min="1" max="1" width="8.88671875" bestFit="1" customWidth="1"/>
    <col min="2" max="2" width="7.6640625" bestFit="1" customWidth="1"/>
    <col min="3" max="3" width="20.33203125" bestFit="1" customWidth="1"/>
    <col min="4" max="4" width="19.88671875" bestFit="1" customWidth="1"/>
    <col min="5" max="5" width="15" bestFit="1" customWidth="1"/>
    <col min="6" max="6" width="19.33203125" bestFit="1" customWidth="1"/>
    <col min="7" max="7" width="20" bestFit="1" customWidth="1"/>
    <col min="8" max="8" width="40" bestFit="1" customWidth="1"/>
    <col min="9" max="9" width="41" bestFit="1" customWidth="1"/>
    <col min="10" max="10" width="16.6640625" bestFit="1" customWidth="1"/>
    <col min="11" max="11" width="12.44140625" style="1" bestFit="1" customWidth="1"/>
    <col min="12" max="12" width="15.77734375" bestFit="1" customWidth="1"/>
    <col min="13" max="13" width="20.21875" bestFit="1" customWidth="1"/>
    <col min="14" max="14" width="19.77734375" customWidth="1"/>
    <col min="15" max="15" width="14.21875" customWidth="1"/>
    <col min="16" max="16" width="18.21875" customWidth="1"/>
  </cols>
  <sheetData>
    <row r="1" spans="1:16" ht="15" thickBot="1" x14ac:dyDescent="0.35">
      <c r="A1" t="s">
        <v>405</v>
      </c>
      <c r="B1" t="s">
        <v>0</v>
      </c>
      <c r="C1" t="s">
        <v>406</v>
      </c>
      <c r="D1" t="s">
        <v>407</v>
      </c>
      <c r="E1" t="s">
        <v>408</v>
      </c>
      <c r="F1" t="s">
        <v>409</v>
      </c>
      <c r="G1" t="s">
        <v>410</v>
      </c>
      <c r="H1" t="s">
        <v>411</v>
      </c>
      <c r="I1" t="s">
        <v>412</v>
      </c>
      <c r="J1" t="s">
        <v>413</v>
      </c>
      <c r="K1" s="1" t="s">
        <v>414</v>
      </c>
      <c r="L1" t="s">
        <v>415</v>
      </c>
      <c r="M1" t="s">
        <v>416</v>
      </c>
      <c r="N1" s="11" t="s">
        <v>793</v>
      </c>
      <c r="O1" s="11" t="s">
        <v>824</v>
      </c>
      <c r="P1" s="11" t="s">
        <v>830</v>
      </c>
    </row>
    <row r="2" spans="1:16" ht="15" thickTop="1" x14ac:dyDescent="0.3">
      <c r="A2">
        <v>690</v>
      </c>
      <c r="B2">
        <v>230</v>
      </c>
      <c r="C2" t="s">
        <v>417</v>
      </c>
      <c r="D2" t="s">
        <v>418</v>
      </c>
      <c r="E2" t="s">
        <v>419</v>
      </c>
      <c r="F2">
        <v>553</v>
      </c>
      <c r="G2">
        <v>1210</v>
      </c>
      <c r="H2" t="s">
        <v>420</v>
      </c>
      <c r="I2" t="s">
        <v>421</v>
      </c>
      <c r="J2" t="s">
        <v>422</v>
      </c>
      <c r="K2" s="1">
        <v>41757</v>
      </c>
      <c r="L2" s="1">
        <v>41991</v>
      </c>
      <c r="M2">
        <v>0.45700000000000002</v>
      </c>
      <c r="N2" s="10">
        <f>IF(OR(K2="",L2=""),"",L2-K2)</f>
        <v>234</v>
      </c>
      <c r="O2" s="3" t="str">
        <f>IF(N2&lt;0,"Invalid",IF(N2&lt;=7,"Fast",IF(N2&lt;=30,"Normal","Delayed")))</f>
        <v>Delayed</v>
      </c>
      <c r="P2" s="3" t="str">
        <f>TEXT(K2,"mmmm")</f>
        <v>April</v>
      </c>
    </row>
    <row r="3" spans="1:16" x14ac:dyDescent="0.3">
      <c r="A3">
        <v>933</v>
      </c>
      <c r="B3">
        <v>3189</v>
      </c>
      <c r="C3" t="s">
        <v>417</v>
      </c>
      <c r="D3" t="s">
        <v>423</v>
      </c>
      <c r="E3" t="s">
        <v>424</v>
      </c>
      <c r="F3">
        <v>810</v>
      </c>
      <c r="G3">
        <v>1114</v>
      </c>
      <c r="H3" t="s">
        <v>425</v>
      </c>
      <c r="I3" t="s">
        <v>426</v>
      </c>
      <c r="J3" t="s">
        <v>422</v>
      </c>
      <c r="K3" s="1">
        <v>35595</v>
      </c>
      <c r="L3" s="1">
        <v>35621</v>
      </c>
      <c r="M3">
        <v>0.72709999999999997</v>
      </c>
      <c r="N3" s="9">
        <f t="shared" ref="N3:N66" si="0">IF(OR(K3="",L3=""),"",L3-K3)</f>
        <v>26</v>
      </c>
      <c r="O3" s="2" t="str">
        <f t="shared" ref="O3:O66" si="1">IF(N3&lt;0,"Invalid",IF(N3&lt;=7,"Fast",IF(N3&lt;=30,"Normal","Delayed")))</f>
        <v>Normal</v>
      </c>
      <c r="P3" s="2" t="str">
        <f t="shared" ref="P3:P66" si="2">TEXT(K3,"mmmm")</f>
        <v>June</v>
      </c>
    </row>
    <row r="4" spans="1:16" x14ac:dyDescent="0.3">
      <c r="A4">
        <v>261</v>
      </c>
      <c r="B4">
        <v>2216</v>
      </c>
      <c r="C4" t="s">
        <v>427</v>
      </c>
      <c r="D4" t="s">
        <v>418</v>
      </c>
      <c r="E4" t="s">
        <v>424</v>
      </c>
      <c r="F4">
        <v>994</v>
      </c>
      <c r="G4">
        <v>1020</v>
      </c>
      <c r="H4" t="s">
        <v>428</v>
      </c>
      <c r="I4" t="s">
        <v>429</v>
      </c>
      <c r="J4" t="s">
        <v>430</v>
      </c>
      <c r="K4" s="1">
        <v>34195</v>
      </c>
      <c r="M4">
        <v>0.97450000000000003</v>
      </c>
      <c r="N4" s="10" t="str">
        <f t="shared" si="0"/>
        <v/>
      </c>
      <c r="O4" s="3" t="str">
        <f t="shared" si="1"/>
        <v>Delayed</v>
      </c>
      <c r="P4" s="3" t="str">
        <f t="shared" si="2"/>
        <v>August</v>
      </c>
    </row>
    <row r="5" spans="1:16" x14ac:dyDescent="0.3">
      <c r="A5">
        <v>445</v>
      </c>
      <c r="B5">
        <v>1904</v>
      </c>
      <c r="C5" t="s">
        <v>431</v>
      </c>
      <c r="D5" t="s">
        <v>418</v>
      </c>
      <c r="E5" t="s">
        <v>424</v>
      </c>
      <c r="F5">
        <v>598</v>
      </c>
      <c r="G5">
        <v>1351</v>
      </c>
      <c r="H5" t="s">
        <v>432</v>
      </c>
      <c r="I5" t="s">
        <v>433</v>
      </c>
      <c r="J5" t="s">
        <v>430</v>
      </c>
      <c r="K5" s="1">
        <v>43812</v>
      </c>
      <c r="M5">
        <v>0.44259999999999999</v>
      </c>
      <c r="N5" s="9" t="str">
        <f t="shared" si="0"/>
        <v/>
      </c>
      <c r="O5" s="2" t="str">
        <f t="shared" si="1"/>
        <v>Delayed</v>
      </c>
      <c r="P5" s="2" t="str">
        <f t="shared" si="2"/>
        <v>December</v>
      </c>
    </row>
    <row r="6" spans="1:16" x14ac:dyDescent="0.3">
      <c r="A6">
        <v>722</v>
      </c>
      <c r="B6">
        <v>7342</v>
      </c>
      <c r="C6" t="s">
        <v>434</v>
      </c>
      <c r="D6" t="s">
        <v>423</v>
      </c>
      <c r="E6" t="s">
        <v>424</v>
      </c>
      <c r="F6">
        <v>412</v>
      </c>
      <c r="G6">
        <v>566</v>
      </c>
      <c r="H6" t="s">
        <v>435</v>
      </c>
      <c r="I6" t="s">
        <v>436</v>
      </c>
      <c r="J6" t="s">
        <v>430</v>
      </c>
      <c r="K6" s="1">
        <v>35329</v>
      </c>
      <c r="M6">
        <v>0.72789999999999999</v>
      </c>
      <c r="N6" s="10" t="str">
        <f t="shared" si="0"/>
        <v/>
      </c>
      <c r="O6" s="3" t="str">
        <f t="shared" si="1"/>
        <v>Delayed</v>
      </c>
      <c r="P6" s="3" t="str">
        <f t="shared" si="2"/>
        <v>September</v>
      </c>
    </row>
    <row r="7" spans="1:16" x14ac:dyDescent="0.3">
      <c r="A7">
        <v>129</v>
      </c>
      <c r="B7">
        <v>7633</v>
      </c>
      <c r="C7" t="s">
        <v>437</v>
      </c>
      <c r="D7" t="s">
        <v>418</v>
      </c>
      <c r="E7" t="s">
        <v>419</v>
      </c>
      <c r="F7">
        <v>379</v>
      </c>
      <c r="G7">
        <v>590</v>
      </c>
      <c r="H7" t="s">
        <v>438</v>
      </c>
      <c r="I7" t="s">
        <v>439</v>
      </c>
      <c r="J7" t="s">
        <v>422</v>
      </c>
      <c r="K7" s="1">
        <v>26046</v>
      </c>
      <c r="L7" s="1">
        <v>26238</v>
      </c>
      <c r="M7">
        <v>0.64239999999999997</v>
      </c>
      <c r="N7" s="9">
        <f t="shared" si="0"/>
        <v>192</v>
      </c>
      <c r="O7" s="2" t="str">
        <f t="shared" si="1"/>
        <v>Delayed</v>
      </c>
      <c r="P7" s="2" t="str">
        <f t="shared" si="2"/>
        <v>April</v>
      </c>
    </row>
    <row r="8" spans="1:16" x14ac:dyDescent="0.3">
      <c r="A8">
        <v>489</v>
      </c>
      <c r="B8">
        <v>2154</v>
      </c>
      <c r="C8" t="s">
        <v>440</v>
      </c>
      <c r="D8" t="s">
        <v>418</v>
      </c>
      <c r="E8" t="s">
        <v>419</v>
      </c>
      <c r="F8">
        <v>892</v>
      </c>
      <c r="G8">
        <v>1407</v>
      </c>
      <c r="H8" t="s">
        <v>441</v>
      </c>
      <c r="I8" t="s">
        <v>442</v>
      </c>
      <c r="J8" t="s">
        <v>430</v>
      </c>
      <c r="K8" s="1">
        <v>38707</v>
      </c>
      <c r="M8">
        <v>0.63400000000000001</v>
      </c>
      <c r="N8" s="10" t="str">
        <f t="shared" si="0"/>
        <v/>
      </c>
      <c r="O8" s="3" t="str">
        <f t="shared" si="1"/>
        <v>Delayed</v>
      </c>
      <c r="P8" s="3" t="str">
        <f t="shared" si="2"/>
        <v>December</v>
      </c>
    </row>
    <row r="9" spans="1:16" x14ac:dyDescent="0.3">
      <c r="A9">
        <v>165</v>
      </c>
      <c r="B9">
        <v>5543</v>
      </c>
      <c r="C9" t="s">
        <v>443</v>
      </c>
      <c r="D9" t="s">
        <v>418</v>
      </c>
      <c r="E9" t="s">
        <v>419</v>
      </c>
      <c r="F9">
        <v>347</v>
      </c>
      <c r="G9">
        <v>786</v>
      </c>
      <c r="H9" t="s">
        <v>444</v>
      </c>
      <c r="I9" t="s">
        <v>445</v>
      </c>
      <c r="J9" t="s">
        <v>430</v>
      </c>
      <c r="K9" s="1">
        <v>29039</v>
      </c>
      <c r="M9">
        <v>0.4415</v>
      </c>
      <c r="N9" s="9" t="str">
        <f t="shared" si="0"/>
        <v/>
      </c>
      <c r="O9" s="2" t="str">
        <f t="shared" si="1"/>
        <v>Delayed</v>
      </c>
      <c r="P9" s="2" t="str">
        <f t="shared" si="2"/>
        <v>July</v>
      </c>
    </row>
    <row r="10" spans="1:16" x14ac:dyDescent="0.3">
      <c r="A10">
        <v>164</v>
      </c>
      <c r="B10">
        <v>2332</v>
      </c>
      <c r="C10" t="s">
        <v>446</v>
      </c>
      <c r="D10" t="s">
        <v>423</v>
      </c>
      <c r="E10" t="s">
        <v>424</v>
      </c>
      <c r="F10">
        <v>457</v>
      </c>
      <c r="G10">
        <v>855</v>
      </c>
      <c r="H10" t="s">
        <v>447</v>
      </c>
      <c r="I10" t="s">
        <v>448</v>
      </c>
      <c r="J10" t="s">
        <v>430</v>
      </c>
      <c r="K10" s="1">
        <v>27879</v>
      </c>
      <c r="M10">
        <v>0.53449999999999998</v>
      </c>
      <c r="N10" s="10" t="str">
        <f t="shared" si="0"/>
        <v/>
      </c>
      <c r="O10" s="3" t="str">
        <f t="shared" si="1"/>
        <v>Delayed</v>
      </c>
      <c r="P10" s="3" t="str">
        <f t="shared" si="2"/>
        <v>April</v>
      </c>
    </row>
    <row r="11" spans="1:16" x14ac:dyDescent="0.3">
      <c r="A11">
        <v>364</v>
      </c>
      <c r="B11">
        <v>4094</v>
      </c>
      <c r="C11" t="s">
        <v>449</v>
      </c>
      <c r="D11" t="s">
        <v>423</v>
      </c>
      <c r="E11" t="s">
        <v>424</v>
      </c>
      <c r="F11">
        <v>957</v>
      </c>
      <c r="G11">
        <v>1182</v>
      </c>
      <c r="H11" t="s">
        <v>450</v>
      </c>
      <c r="I11" t="s">
        <v>451</v>
      </c>
      <c r="J11" t="s">
        <v>430</v>
      </c>
      <c r="K11" s="1">
        <v>40971</v>
      </c>
      <c r="M11">
        <v>0.80959999999999999</v>
      </c>
      <c r="N11" s="9" t="str">
        <f t="shared" si="0"/>
        <v/>
      </c>
      <c r="O11" s="2" t="str">
        <f t="shared" si="1"/>
        <v>Delayed</v>
      </c>
      <c r="P11" s="2" t="str">
        <f t="shared" si="2"/>
        <v>March</v>
      </c>
    </row>
    <row r="12" spans="1:16" x14ac:dyDescent="0.3">
      <c r="A12">
        <v>469</v>
      </c>
      <c r="B12">
        <v>3042</v>
      </c>
      <c r="C12" t="s">
        <v>434</v>
      </c>
      <c r="D12" t="s">
        <v>423</v>
      </c>
      <c r="E12" t="s">
        <v>419</v>
      </c>
      <c r="F12">
        <v>23</v>
      </c>
      <c r="G12">
        <v>25</v>
      </c>
      <c r="H12" t="s">
        <v>452</v>
      </c>
      <c r="I12" t="s">
        <v>453</v>
      </c>
      <c r="J12" t="s">
        <v>422</v>
      </c>
      <c r="K12" s="1">
        <v>33287</v>
      </c>
      <c r="L12" s="1">
        <v>33373</v>
      </c>
      <c r="M12">
        <v>0.92</v>
      </c>
      <c r="N12" s="10">
        <f t="shared" si="0"/>
        <v>86</v>
      </c>
      <c r="O12" s="3" t="str">
        <f t="shared" si="1"/>
        <v>Delayed</v>
      </c>
      <c r="P12" s="3" t="str">
        <f t="shared" si="2"/>
        <v>February</v>
      </c>
    </row>
    <row r="13" spans="1:16" x14ac:dyDescent="0.3">
      <c r="A13">
        <v>158</v>
      </c>
      <c r="B13">
        <v>2220</v>
      </c>
      <c r="C13" t="s">
        <v>417</v>
      </c>
      <c r="D13" t="s">
        <v>418</v>
      </c>
      <c r="E13" t="s">
        <v>424</v>
      </c>
      <c r="F13">
        <v>479</v>
      </c>
      <c r="G13">
        <v>861</v>
      </c>
      <c r="H13" t="s">
        <v>454</v>
      </c>
      <c r="I13" t="s">
        <v>455</v>
      </c>
      <c r="J13" t="s">
        <v>422</v>
      </c>
      <c r="K13" s="1">
        <v>27850</v>
      </c>
      <c r="L13" s="1">
        <v>27941</v>
      </c>
      <c r="M13">
        <v>0.55630000000000002</v>
      </c>
      <c r="N13" s="9">
        <f t="shared" si="0"/>
        <v>91</v>
      </c>
      <c r="O13" s="2" t="str">
        <f t="shared" si="1"/>
        <v>Delayed</v>
      </c>
      <c r="P13" s="2" t="str">
        <f t="shared" si="2"/>
        <v>March</v>
      </c>
    </row>
    <row r="14" spans="1:16" x14ac:dyDescent="0.3">
      <c r="A14">
        <v>337</v>
      </c>
      <c r="B14">
        <v>4988</v>
      </c>
      <c r="C14" t="s">
        <v>434</v>
      </c>
      <c r="D14" t="s">
        <v>418</v>
      </c>
      <c r="E14" t="s">
        <v>424</v>
      </c>
      <c r="F14">
        <v>305</v>
      </c>
      <c r="G14">
        <v>834</v>
      </c>
      <c r="H14" t="s">
        <v>456</v>
      </c>
      <c r="I14" t="s">
        <v>457</v>
      </c>
      <c r="J14" t="s">
        <v>430</v>
      </c>
      <c r="K14" s="1">
        <v>27891</v>
      </c>
      <c r="M14">
        <v>0.36570000000000003</v>
      </c>
      <c r="N14" s="10" t="str">
        <f t="shared" si="0"/>
        <v/>
      </c>
      <c r="O14" s="3" t="str">
        <f t="shared" si="1"/>
        <v>Delayed</v>
      </c>
      <c r="P14" s="3" t="str">
        <f t="shared" si="2"/>
        <v>May</v>
      </c>
    </row>
    <row r="15" spans="1:16" x14ac:dyDescent="0.3">
      <c r="A15">
        <v>634</v>
      </c>
      <c r="B15">
        <v>175</v>
      </c>
      <c r="C15" t="s">
        <v>417</v>
      </c>
      <c r="D15" t="s">
        <v>423</v>
      </c>
      <c r="E15" t="s">
        <v>424</v>
      </c>
      <c r="F15">
        <v>939</v>
      </c>
      <c r="G15">
        <v>1446</v>
      </c>
      <c r="H15" t="s">
        <v>458</v>
      </c>
      <c r="I15" t="s">
        <v>459</v>
      </c>
      <c r="J15" t="s">
        <v>430</v>
      </c>
      <c r="K15" s="1">
        <v>29501</v>
      </c>
      <c r="M15">
        <v>0.64939999999999998</v>
      </c>
      <c r="N15" s="9" t="str">
        <f t="shared" si="0"/>
        <v/>
      </c>
      <c r="O15" s="2" t="str">
        <f t="shared" si="1"/>
        <v>Delayed</v>
      </c>
      <c r="P15" s="2" t="str">
        <f t="shared" si="2"/>
        <v>October</v>
      </c>
    </row>
    <row r="16" spans="1:16" x14ac:dyDescent="0.3">
      <c r="A16">
        <v>577</v>
      </c>
      <c r="B16">
        <v>4233</v>
      </c>
      <c r="C16" t="s">
        <v>440</v>
      </c>
      <c r="D16" t="s">
        <v>418</v>
      </c>
      <c r="E16" t="s">
        <v>419</v>
      </c>
      <c r="F16">
        <v>679</v>
      </c>
      <c r="G16">
        <v>1455</v>
      </c>
      <c r="H16" t="s">
        <v>460</v>
      </c>
      <c r="I16" t="s">
        <v>454</v>
      </c>
      <c r="J16" t="s">
        <v>422</v>
      </c>
      <c r="K16" s="1">
        <v>31855</v>
      </c>
      <c r="L16" s="1">
        <v>31998</v>
      </c>
      <c r="M16">
        <v>0.4667</v>
      </c>
      <c r="N16" s="10">
        <f t="shared" si="0"/>
        <v>143</v>
      </c>
      <c r="O16" s="3" t="str">
        <f t="shared" si="1"/>
        <v>Delayed</v>
      </c>
      <c r="P16" s="3" t="str">
        <f t="shared" si="2"/>
        <v>March</v>
      </c>
    </row>
    <row r="17" spans="1:16" x14ac:dyDescent="0.3">
      <c r="A17">
        <v>907</v>
      </c>
      <c r="B17">
        <v>4351</v>
      </c>
      <c r="C17" t="s">
        <v>434</v>
      </c>
      <c r="D17" t="s">
        <v>423</v>
      </c>
      <c r="E17" t="s">
        <v>424</v>
      </c>
      <c r="F17">
        <v>803</v>
      </c>
      <c r="G17">
        <v>1020</v>
      </c>
      <c r="H17" t="s">
        <v>461</v>
      </c>
      <c r="I17" t="s">
        <v>462</v>
      </c>
      <c r="J17" t="s">
        <v>430</v>
      </c>
      <c r="K17" s="1">
        <v>41478</v>
      </c>
      <c r="M17">
        <v>0.7873</v>
      </c>
      <c r="N17" s="9" t="str">
        <f t="shared" si="0"/>
        <v/>
      </c>
      <c r="O17" s="2" t="str">
        <f t="shared" si="1"/>
        <v>Delayed</v>
      </c>
      <c r="P17" s="2" t="str">
        <f t="shared" si="2"/>
        <v>July</v>
      </c>
    </row>
    <row r="18" spans="1:16" x14ac:dyDescent="0.3">
      <c r="A18">
        <v>870</v>
      </c>
      <c r="B18">
        <v>5578</v>
      </c>
      <c r="C18" t="s">
        <v>463</v>
      </c>
      <c r="D18" t="s">
        <v>418</v>
      </c>
      <c r="E18" t="s">
        <v>419</v>
      </c>
      <c r="F18">
        <v>783</v>
      </c>
      <c r="G18">
        <v>1042</v>
      </c>
      <c r="H18" t="s">
        <v>464</v>
      </c>
      <c r="I18" t="s">
        <v>465</v>
      </c>
      <c r="J18" t="s">
        <v>430</v>
      </c>
      <c r="K18" s="1">
        <v>40239</v>
      </c>
      <c r="M18">
        <v>0.75139999999999996</v>
      </c>
      <c r="N18" s="10" t="str">
        <f t="shared" si="0"/>
        <v/>
      </c>
      <c r="O18" s="3" t="str">
        <f t="shared" si="1"/>
        <v>Delayed</v>
      </c>
      <c r="P18" s="3" t="str">
        <f t="shared" si="2"/>
        <v>March</v>
      </c>
    </row>
    <row r="19" spans="1:16" x14ac:dyDescent="0.3">
      <c r="A19">
        <v>982</v>
      </c>
      <c r="B19">
        <v>4523</v>
      </c>
      <c r="C19" t="s">
        <v>443</v>
      </c>
      <c r="D19" t="s">
        <v>418</v>
      </c>
      <c r="E19" t="s">
        <v>419</v>
      </c>
      <c r="F19">
        <v>432</v>
      </c>
      <c r="G19">
        <v>915</v>
      </c>
      <c r="H19" t="s">
        <v>454</v>
      </c>
      <c r="I19" t="s">
        <v>466</v>
      </c>
      <c r="J19" t="s">
        <v>430</v>
      </c>
      <c r="K19" s="1">
        <v>43025</v>
      </c>
      <c r="M19">
        <v>0.47210000000000002</v>
      </c>
      <c r="N19" s="9" t="str">
        <f t="shared" si="0"/>
        <v/>
      </c>
      <c r="O19" s="2" t="str">
        <f t="shared" si="1"/>
        <v>Delayed</v>
      </c>
      <c r="P19" s="2" t="str">
        <f t="shared" si="2"/>
        <v>October</v>
      </c>
    </row>
    <row r="20" spans="1:16" x14ac:dyDescent="0.3">
      <c r="A20">
        <v>351</v>
      </c>
      <c r="B20">
        <v>2972</v>
      </c>
      <c r="C20" t="s">
        <v>443</v>
      </c>
      <c r="D20" t="s">
        <v>418</v>
      </c>
      <c r="E20" t="s">
        <v>419</v>
      </c>
      <c r="F20">
        <v>776</v>
      </c>
      <c r="G20">
        <v>1053</v>
      </c>
      <c r="H20" t="s">
        <v>467</v>
      </c>
      <c r="I20" t="s">
        <v>468</v>
      </c>
      <c r="J20" t="s">
        <v>422</v>
      </c>
      <c r="K20" s="1">
        <v>28128</v>
      </c>
      <c r="L20" s="1">
        <v>28312</v>
      </c>
      <c r="M20">
        <v>0.7369</v>
      </c>
      <c r="N20" s="10">
        <f t="shared" si="0"/>
        <v>184</v>
      </c>
      <c r="O20" s="3" t="str">
        <f t="shared" si="1"/>
        <v>Delayed</v>
      </c>
      <c r="P20" s="3" t="str">
        <f t="shared" si="2"/>
        <v>January</v>
      </c>
    </row>
    <row r="21" spans="1:16" x14ac:dyDescent="0.3">
      <c r="A21">
        <v>328</v>
      </c>
      <c r="B21">
        <v>6153</v>
      </c>
      <c r="C21" t="s">
        <v>417</v>
      </c>
      <c r="D21" t="s">
        <v>418</v>
      </c>
      <c r="E21" t="s">
        <v>424</v>
      </c>
      <c r="F21">
        <v>710</v>
      </c>
      <c r="G21">
        <v>1066</v>
      </c>
      <c r="H21" t="s">
        <v>469</v>
      </c>
      <c r="I21" t="s">
        <v>470</v>
      </c>
      <c r="J21" t="s">
        <v>422</v>
      </c>
      <c r="K21" s="1">
        <v>35450</v>
      </c>
      <c r="L21" s="1">
        <v>35681</v>
      </c>
      <c r="M21">
        <v>0.66600000000000004</v>
      </c>
      <c r="N21" s="9">
        <f t="shared" si="0"/>
        <v>231</v>
      </c>
      <c r="O21" s="2" t="str">
        <f t="shared" si="1"/>
        <v>Delayed</v>
      </c>
      <c r="P21" s="2" t="str">
        <f t="shared" si="2"/>
        <v>January</v>
      </c>
    </row>
    <row r="22" spans="1:16" x14ac:dyDescent="0.3">
      <c r="A22">
        <v>242</v>
      </c>
      <c r="B22">
        <v>4852</v>
      </c>
      <c r="C22" t="s">
        <v>463</v>
      </c>
      <c r="D22" t="s">
        <v>418</v>
      </c>
      <c r="E22" t="s">
        <v>419</v>
      </c>
      <c r="F22">
        <v>959</v>
      </c>
      <c r="G22">
        <v>1253</v>
      </c>
      <c r="H22" t="s">
        <v>471</v>
      </c>
      <c r="I22" t="s">
        <v>472</v>
      </c>
      <c r="J22" t="s">
        <v>430</v>
      </c>
      <c r="K22" s="1">
        <v>35408</v>
      </c>
      <c r="M22">
        <v>0.76539999999999997</v>
      </c>
      <c r="N22" s="10" t="str">
        <f t="shared" si="0"/>
        <v/>
      </c>
      <c r="O22" s="3" t="str">
        <f t="shared" si="1"/>
        <v>Delayed</v>
      </c>
      <c r="P22" s="3" t="str">
        <f t="shared" si="2"/>
        <v>December</v>
      </c>
    </row>
    <row r="23" spans="1:16" x14ac:dyDescent="0.3">
      <c r="A23">
        <v>421</v>
      </c>
      <c r="B23">
        <v>8106</v>
      </c>
      <c r="C23" t="s">
        <v>449</v>
      </c>
      <c r="D23" t="s">
        <v>423</v>
      </c>
      <c r="E23" t="s">
        <v>419</v>
      </c>
      <c r="F23">
        <v>147</v>
      </c>
      <c r="G23">
        <v>535</v>
      </c>
      <c r="H23" t="s">
        <v>454</v>
      </c>
      <c r="I23" t="s">
        <v>473</v>
      </c>
      <c r="J23" t="s">
        <v>422</v>
      </c>
      <c r="K23" s="1">
        <v>36198</v>
      </c>
      <c r="L23" s="1">
        <v>36224</v>
      </c>
      <c r="M23">
        <v>0.27479999999999999</v>
      </c>
      <c r="N23" s="9">
        <f t="shared" si="0"/>
        <v>26</v>
      </c>
      <c r="O23" s="2" t="str">
        <f t="shared" si="1"/>
        <v>Normal</v>
      </c>
      <c r="P23" s="2" t="str">
        <f t="shared" si="2"/>
        <v>February</v>
      </c>
    </row>
    <row r="24" spans="1:16" x14ac:dyDescent="0.3">
      <c r="A24">
        <v>6</v>
      </c>
      <c r="B24">
        <v>3917</v>
      </c>
      <c r="C24" t="s">
        <v>474</v>
      </c>
      <c r="D24" t="s">
        <v>423</v>
      </c>
      <c r="E24" t="s">
        <v>424</v>
      </c>
      <c r="F24">
        <v>613</v>
      </c>
      <c r="G24">
        <v>1256</v>
      </c>
      <c r="H24" t="s">
        <v>454</v>
      </c>
      <c r="I24" t="s">
        <v>475</v>
      </c>
      <c r="J24" t="s">
        <v>422</v>
      </c>
      <c r="K24" s="1">
        <v>28192</v>
      </c>
      <c r="L24" s="1">
        <v>28437</v>
      </c>
      <c r="M24">
        <v>0.48809999999999998</v>
      </c>
      <c r="N24" s="10">
        <f t="shared" si="0"/>
        <v>245</v>
      </c>
      <c r="O24" s="3" t="str">
        <f t="shared" si="1"/>
        <v>Delayed</v>
      </c>
      <c r="P24" s="3" t="str">
        <f t="shared" si="2"/>
        <v>March</v>
      </c>
    </row>
    <row r="25" spans="1:16" x14ac:dyDescent="0.3">
      <c r="A25">
        <v>384</v>
      </c>
      <c r="B25">
        <v>9377</v>
      </c>
      <c r="C25" t="s">
        <v>427</v>
      </c>
      <c r="D25" t="s">
        <v>418</v>
      </c>
      <c r="E25" t="s">
        <v>419</v>
      </c>
      <c r="F25">
        <v>590</v>
      </c>
      <c r="G25">
        <v>1033</v>
      </c>
      <c r="H25" t="s">
        <v>476</v>
      </c>
      <c r="I25" t="s">
        <v>477</v>
      </c>
      <c r="J25" t="s">
        <v>430</v>
      </c>
      <c r="K25" s="1">
        <v>26350</v>
      </c>
      <c r="M25">
        <v>0.57120000000000004</v>
      </c>
      <c r="N25" s="9" t="str">
        <f t="shared" si="0"/>
        <v/>
      </c>
      <c r="O25" s="2" t="str">
        <f t="shared" si="1"/>
        <v>Delayed</v>
      </c>
      <c r="P25" s="2" t="str">
        <f t="shared" si="2"/>
        <v>February</v>
      </c>
    </row>
    <row r="26" spans="1:16" x14ac:dyDescent="0.3">
      <c r="A26">
        <v>286</v>
      </c>
      <c r="B26">
        <v>5387</v>
      </c>
      <c r="C26" t="s">
        <v>434</v>
      </c>
      <c r="D26" t="s">
        <v>418</v>
      </c>
      <c r="E26" t="s">
        <v>419</v>
      </c>
      <c r="F26">
        <v>193</v>
      </c>
      <c r="G26">
        <v>817</v>
      </c>
      <c r="H26" t="s">
        <v>478</v>
      </c>
      <c r="I26" t="s">
        <v>479</v>
      </c>
      <c r="J26" t="s">
        <v>422</v>
      </c>
      <c r="K26" s="1">
        <v>38509</v>
      </c>
      <c r="L26" s="1">
        <v>38610</v>
      </c>
      <c r="M26">
        <v>0.23619999999999999</v>
      </c>
      <c r="N26" s="10">
        <f t="shared" si="0"/>
        <v>101</v>
      </c>
      <c r="O26" s="3" t="str">
        <f t="shared" si="1"/>
        <v>Delayed</v>
      </c>
      <c r="P26" s="3" t="str">
        <f t="shared" si="2"/>
        <v>June</v>
      </c>
    </row>
    <row r="27" spans="1:16" x14ac:dyDescent="0.3">
      <c r="A27">
        <v>892</v>
      </c>
      <c r="B27">
        <v>6513</v>
      </c>
      <c r="C27" t="s">
        <v>427</v>
      </c>
      <c r="D27" t="s">
        <v>418</v>
      </c>
      <c r="E27" t="s">
        <v>419</v>
      </c>
      <c r="F27">
        <v>879</v>
      </c>
      <c r="G27">
        <v>1037</v>
      </c>
      <c r="H27" t="s">
        <v>480</v>
      </c>
      <c r="I27" t="s">
        <v>481</v>
      </c>
      <c r="J27" t="s">
        <v>422</v>
      </c>
      <c r="K27" s="1">
        <v>43786</v>
      </c>
      <c r="L27" s="1">
        <v>43811</v>
      </c>
      <c r="M27">
        <v>0.84760000000000002</v>
      </c>
      <c r="N27" s="9">
        <f t="shared" si="0"/>
        <v>25</v>
      </c>
      <c r="O27" s="2" t="str">
        <f t="shared" si="1"/>
        <v>Normal</v>
      </c>
      <c r="P27" s="2" t="str">
        <f t="shared" si="2"/>
        <v>November</v>
      </c>
    </row>
    <row r="28" spans="1:16" x14ac:dyDescent="0.3">
      <c r="A28">
        <v>558</v>
      </c>
      <c r="B28">
        <v>3965</v>
      </c>
      <c r="C28" t="s">
        <v>443</v>
      </c>
      <c r="D28" t="s">
        <v>418</v>
      </c>
      <c r="E28" t="s">
        <v>419</v>
      </c>
      <c r="F28">
        <v>275</v>
      </c>
      <c r="G28">
        <v>951</v>
      </c>
      <c r="H28" t="s">
        <v>482</v>
      </c>
      <c r="I28" t="s">
        <v>483</v>
      </c>
      <c r="J28" t="s">
        <v>422</v>
      </c>
      <c r="K28" s="1">
        <v>41574</v>
      </c>
      <c r="L28" s="1">
        <v>41593</v>
      </c>
      <c r="M28">
        <v>0.28920000000000001</v>
      </c>
      <c r="N28" s="10">
        <f t="shared" si="0"/>
        <v>19</v>
      </c>
      <c r="O28" s="3" t="str">
        <f t="shared" si="1"/>
        <v>Normal</v>
      </c>
      <c r="P28" s="3" t="str">
        <f t="shared" si="2"/>
        <v>October</v>
      </c>
    </row>
    <row r="29" spans="1:16" x14ac:dyDescent="0.3">
      <c r="A29">
        <v>481</v>
      </c>
      <c r="B29">
        <v>8893</v>
      </c>
      <c r="C29" t="s">
        <v>463</v>
      </c>
      <c r="D29" t="s">
        <v>423</v>
      </c>
      <c r="E29" t="s">
        <v>419</v>
      </c>
      <c r="F29">
        <v>319</v>
      </c>
      <c r="G29">
        <v>770</v>
      </c>
      <c r="H29" t="s">
        <v>484</v>
      </c>
      <c r="I29" t="s">
        <v>485</v>
      </c>
      <c r="J29" t="s">
        <v>430</v>
      </c>
      <c r="K29" s="1">
        <v>38909</v>
      </c>
      <c r="M29">
        <v>0.4143</v>
      </c>
      <c r="N29" s="9" t="str">
        <f t="shared" si="0"/>
        <v/>
      </c>
      <c r="O29" s="2" t="str">
        <f t="shared" si="1"/>
        <v>Delayed</v>
      </c>
      <c r="P29" s="2" t="str">
        <f t="shared" si="2"/>
        <v>July</v>
      </c>
    </row>
    <row r="30" spans="1:16" x14ac:dyDescent="0.3">
      <c r="A30">
        <v>155</v>
      </c>
      <c r="B30">
        <v>1897</v>
      </c>
      <c r="C30" t="s">
        <v>446</v>
      </c>
      <c r="D30" t="s">
        <v>418</v>
      </c>
      <c r="E30" t="s">
        <v>424</v>
      </c>
      <c r="F30">
        <v>52</v>
      </c>
      <c r="G30">
        <v>293</v>
      </c>
      <c r="H30" t="s">
        <v>454</v>
      </c>
      <c r="I30" t="s">
        <v>486</v>
      </c>
      <c r="J30" t="s">
        <v>430</v>
      </c>
      <c r="K30" s="1">
        <v>37887</v>
      </c>
      <c r="M30">
        <v>0.17749999999999999</v>
      </c>
      <c r="N30" s="10" t="str">
        <f t="shared" si="0"/>
        <v/>
      </c>
      <c r="O30" s="3" t="str">
        <f t="shared" si="1"/>
        <v>Delayed</v>
      </c>
      <c r="P30" s="3" t="str">
        <f t="shared" si="2"/>
        <v>September</v>
      </c>
    </row>
    <row r="31" spans="1:16" x14ac:dyDescent="0.3">
      <c r="A31">
        <v>771</v>
      </c>
      <c r="B31">
        <v>390</v>
      </c>
      <c r="C31" t="s">
        <v>434</v>
      </c>
      <c r="D31" t="s">
        <v>418</v>
      </c>
      <c r="E31" t="s">
        <v>419</v>
      </c>
      <c r="F31">
        <v>702</v>
      </c>
      <c r="G31">
        <v>1414</v>
      </c>
      <c r="H31" t="s">
        <v>487</v>
      </c>
      <c r="I31" t="s">
        <v>488</v>
      </c>
      <c r="J31" t="s">
        <v>422</v>
      </c>
      <c r="K31" s="1">
        <v>41397</v>
      </c>
      <c r="L31" s="1">
        <v>41593</v>
      </c>
      <c r="M31">
        <v>0.4965</v>
      </c>
      <c r="N31" s="9">
        <f t="shared" si="0"/>
        <v>196</v>
      </c>
      <c r="O31" s="2" t="str">
        <f t="shared" si="1"/>
        <v>Delayed</v>
      </c>
      <c r="P31" s="2" t="str">
        <f t="shared" si="2"/>
        <v>May</v>
      </c>
    </row>
    <row r="32" spans="1:16" x14ac:dyDescent="0.3">
      <c r="A32">
        <v>945</v>
      </c>
      <c r="B32">
        <v>3633</v>
      </c>
      <c r="C32" t="s">
        <v>417</v>
      </c>
      <c r="D32" t="s">
        <v>418</v>
      </c>
      <c r="E32" t="s">
        <v>424</v>
      </c>
      <c r="F32">
        <v>299</v>
      </c>
      <c r="G32">
        <v>524</v>
      </c>
      <c r="H32" t="s">
        <v>489</v>
      </c>
      <c r="I32" t="s">
        <v>490</v>
      </c>
      <c r="J32" t="s">
        <v>422</v>
      </c>
      <c r="K32" s="1">
        <v>37010</v>
      </c>
      <c r="L32" s="1">
        <v>37113</v>
      </c>
      <c r="M32">
        <v>0.5706</v>
      </c>
      <c r="N32" s="10">
        <f t="shared" si="0"/>
        <v>103</v>
      </c>
      <c r="O32" s="3" t="str">
        <f t="shared" si="1"/>
        <v>Delayed</v>
      </c>
      <c r="P32" s="3" t="str">
        <f t="shared" si="2"/>
        <v>April</v>
      </c>
    </row>
    <row r="33" spans="1:16" x14ac:dyDescent="0.3">
      <c r="A33">
        <v>719</v>
      </c>
      <c r="B33">
        <v>7828</v>
      </c>
      <c r="C33" t="s">
        <v>474</v>
      </c>
      <c r="D33" t="s">
        <v>418</v>
      </c>
      <c r="E33" t="s">
        <v>419</v>
      </c>
      <c r="F33">
        <v>930</v>
      </c>
      <c r="G33">
        <v>1183</v>
      </c>
      <c r="H33" t="s">
        <v>491</v>
      </c>
      <c r="I33" t="s">
        <v>492</v>
      </c>
      <c r="J33" t="s">
        <v>422</v>
      </c>
      <c r="K33" s="1">
        <v>38739</v>
      </c>
      <c r="L33" s="1">
        <v>38915</v>
      </c>
      <c r="M33">
        <v>0.78610000000000002</v>
      </c>
      <c r="N33" s="9">
        <f t="shared" si="0"/>
        <v>176</v>
      </c>
      <c r="O33" s="2" t="str">
        <f t="shared" si="1"/>
        <v>Delayed</v>
      </c>
      <c r="P33" s="2" t="str">
        <f t="shared" si="2"/>
        <v>January</v>
      </c>
    </row>
    <row r="34" spans="1:16" x14ac:dyDescent="0.3">
      <c r="A34">
        <v>493</v>
      </c>
      <c r="B34">
        <v>2241</v>
      </c>
      <c r="C34" t="s">
        <v>431</v>
      </c>
      <c r="D34" t="s">
        <v>418</v>
      </c>
      <c r="E34" t="s">
        <v>419</v>
      </c>
      <c r="F34">
        <v>314</v>
      </c>
      <c r="G34">
        <v>566</v>
      </c>
      <c r="H34" t="s">
        <v>493</v>
      </c>
      <c r="I34" t="s">
        <v>494</v>
      </c>
      <c r="J34" t="s">
        <v>430</v>
      </c>
      <c r="K34" s="1">
        <v>34931</v>
      </c>
      <c r="M34">
        <v>0.55479999999999996</v>
      </c>
      <c r="N34" s="10" t="str">
        <f t="shared" si="0"/>
        <v/>
      </c>
      <c r="O34" s="3" t="str">
        <f t="shared" si="1"/>
        <v>Delayed</v>
      </c>
      <c r="P34" s="3" t="str">
        <f t="shared" si="2"/>
        <v>August</v>
      </c>
    </row>
    <row r="35" spans="1:16" x14ac:dyDescent="0.3">
      <c r="A35">
        <v>998</v>
      </c>
      <c r="B35">
        <v>896</v>
      </c>
      <c r="C35" t="s">
        <v>446</v>
      </c>
      <c r="D35" t="s">
        <v>423</v>
      </c>
      <c r="E35" t="s">
        <v>424</v>
      </c>
      <c r="F35">
        <v>109</v>
      </c>
      <c r="G35">
        <v>961</v>
      </c>
      <c r="H35" t="s">
        <v>495</v>
      </c>
      <c r="I35" t="s">
        <v>496</v>
      </c>
      <c r="J35" t="s">
        <v>422</v>
      </c>
      <c r="K35" s="1">
        <v>41599</v>
      </c>
      <c r="L35" s="1">
        <v>41593</v>
      </c>
      <c r="M35">
        <v>0.1134</v>
      </c>
      <c r="N35" s="9">
        <f t="shared" si="0"/>
        <v>-6</v>
      </c>
      <c r="O35" s="2" t="str">
        <f t="shared" si="1"/>
        <v>Invalid</v>
      </c>
      <c r="P35" s="2" t="str">
        <f t="shared" si="2"/>
        <v>November</v>
      </c>
    </row>
    <row r="36" spans="1:16" x14ac:dyDescent="0.3">
      <c r="A36">
        <v>968</v>
      </c>
      <c r="B36">
        <v>6361</v>
      </c>
      <c r="C36" t="s">
        <v>437</v>
      </c>
      <c r="D36" t="s">
        <v>418</v>
      </c>
      <c r="E36" t="s">
        <v>419</v>
      </c>
      <c r="F36">
        <v>24</v>
      </c>
      <c r="G36">
        <v>54</v>
      </c>
      <c r="H36" t="s">
        <v>497</v>
      </c>
      <c r="I36" t="s">
        <v>498</v>
      </c>
      <c r="J36" t="s">
        <v>422</v>
      </c>
      <c r="K36" s="1">
        <v>33973</v>
      </c>
      <c r="L36" s="1">
        <v>34183</v>
      </c>
      <c r="M36">
        <v>0.44440000000000002</v>
      </c>
      <c r="N36" s="10">
        <f t="shared" si="0"/>
        <v>210</v>
      </c>
      <c r="O36" s="3" t="str">
        <f t="shared" si="1"/>
        <v>Delayed</v>
      </c>
      <c r="P36" s="3" t="str">
        <f t="shared" si="2"/>
        <v>January</v>
      </c>
    </row>
    <row r="37" spans="1:16" x14ac:dyDescent="0.3">
      <c r="A37">
        <v>738</v>
      </c>
      <c r="B37">
        <v>6713</v>
      </c>
      <c r="C37" t="s">
        <v>434</v>
      </c>
      <c r="D37" t="s">
        <v>418</v>
      </c>
      <c r="E37" t="s">
        <v>424</v>
      </c>
      <c r="F37">
        <v>545</v>
      </c>
      <c r="G37">
        <v>1044</v>
      </c>
      <c r="H37" t="s">
        <v>499</v>
      </c>
      <c r="I37" t="s">
        <v>500</v>
      </c>
      <c r="J37" t="s">
        <v>430</v>
      </c>
      <c r="K37" s="1">
        <v>28387</v>
      </c>
      <c r="M37">
        <v>0.52200000000000002</v>
      </c>
      <c r="N37" s="9" t="str">
        <f t="shared" si="0"/>
        <v/>
      </c>
      <c r="O37" s="2" t="str">
        <f t="shared" si="1"/>
        <v>Delayed</v>
      </c>
      <c r="P37" s="2" t="str">
        <f t="shared" si="2"/>
        <v>September</v>
      </c>
    </row>
    <row r="38" spans="1:16" x14ac:dyDescent="0.3">
      <c r="A38">
        <v>912</v>
      </c>
      <c r="B38">
        <v>4283</v>
      </c>
      <c r="C38" t="s">
        <v>440</v>
      </c>
      <c r="D38" t="s">
        <v>423</v>
      </c>
      <c r="E38" t="s">
        <v>419</v>
      </c>
      <c r="F38">
        <v>505</v>
      </c>
      <c r="G38">
        <v>1082</v>
      </c>
      <c r="H38" t="s">
        <v>501</v>
      </c>
      <c r="I38" t="s">
        <v>502</v>
      </c>
      <c r="J38" t="s">
        <v>430</v>
      </c>
      <c r="K38" s="1">
        <v>43829</v>
      </c>
      <c r="M38">
        <v>0.4667</v>
      </c>
      <c r="N38" s="10" t="str">
        <f t="shared" si="0"/>
        <v/>
      </c>
      <c r="O38" s="3" t="str">
        <f t="shared" si="1"/>
        <v>Delayed</v>
      </c>
      <c r="P38" s="3" t="str">
        <f t="shared" si="2"/>
        <v>December</v>
      </c>
    </row>
    <row r="39" spans="1:16" x14ac:dyDescent="0.3">
      <c r="A39">
        <v>782</v>
      </c>
      <c r="B39">
        <v>9486</v>
      </c>
      <c r="C39" t="s">
        <v>434</v>
      </c>
      <c r="D39" t="s">
        <v>423</v>
      </c>
      <c r="E39" t="s">
        <v>419</v>
      </c>
      <c r="F39">
        <v>182</v>
      </c>
      <c r="G39">
        <v>871</v>
      </c>
      <c r="H39" t="s">
        <v>503</v>
      </c>
      <c r="I39" t="s">
        <v>504</v>
      </c>
      <c r="J39" t="s">
        <v>422</v>
      </c>
      <c r="K39" s="1">
        <v>37499</v>
      </c>
      <c r="L39" s="1">
        <v>37549</v>
      </c>
      <c r="M39">
        <v>0.20899999999999999</v>
      </c>
      <c r="N39" s="9">
        <f t="shared" si="0"/>
        <v>50</v>
      </c>
      <c r="O39" s="2" t="str">
        <f t="shared" si="1"/>
        <v>Delayed</v>
      </c>
      <c r="P39" s="2" t="str">
        <f t="shared" si="2"/>
        <v>August</v>
      </c>
    </row>
    <row r="40" spans="1:16" x14ac:dyDescent="0.3">
      <c r="A40">
        <v>140</v>
      </c>
      <c r="B40">
        <v>308</v>
      </c>
      <c r="C40" t="s">
        <v>427</v>
      </c>
      <c r="D40" t="s">
        <v>423</v>
      </c>
      <c r="E40" t="s">
        <v>419</v>
      </c>
      <c r="F40">
        <v>226</v>
      </c>
      <c r="G40">
        <v>970</v>
      </c>
      <c r="H40" t="s">
        <v>505</v>
      </c>
      <c r="I40" t="s">
        <v>506</v>
      </c>
      <c r="J40" t="s">
        <v>422</v>
      </c>
      <c r="K40" s="1">
        <v>38878</v>
      </c>
      <c r="L40" s="1">
        <v>38915</v>
      </c>
      <c r="M40">
        <v>0.23300000000000001</v>
      </c>
      <c r="N40" s="10">
        <f t="shared" si="0"/>
        <v>37</v>
      </c>
      <c r="O40" s="3" t="str">
        <f t="shared" si="1"/>
        <v>Delayed</v>
      </c>
      <c r="P40" s="3" t="str">
        <f t="shared" si="2"/>
        <v>June</v>
      </c>
    </row>
    <row r="41" spans="1:16" x14ac:dyDescent="0.3">
      <c r="A41">
        <v>702</v>
      </c>
      <c r="B41">
        <v>8927</v>
      </c>
      <c r="C41" t="s">
        <v>431</v>
      </c>
      <c r="D41" t="s">
        <v>423</v>
      </c>
      <c r="E41" t="s">
        <v>419</v>
      </c>
      <c r="F41">
        <v>111</v>
      </c>
      <c r="G41">
        <v>617</v>
      </c>
      <c r="H41" t="s">
        <v>507</v>
      </c>
      <c r="I41" t="s">
        <v>508</v>
      </c>
      <c r="J41" t="s">
        <v>422</v>
      </c>
      <c r="K41" s="1">
        <v>38175</v>
      </c>
      <c r="L41" s="1">
        <v>38311</v>
      </c>
      <c r="M41">
        <v>0.1799</v>
      </c>
      <c r="N41" s="9">
        <f t="shared" si="0"/>
        <v>136</v>
      </c>
      <c r="O41" s="2" t="str">
        <f t="shared" si="1"/>
        <v>Delayed</v>
      </c>
      <c r="P41" s="2" t="str">
        <f t="shared" si="2"/>
        <v>July</v>
      </c>
    </row>
    <row r="42" spans="1:16" x14ac:dyDescent="0.3">
      <c r="A42">
        <v>284</v>
      </c>
      <c r="B42">
        <v>249</v>
      </c>
      <c r="C42" t="s">
        <v>446</v>
      </c>
      <c r="D42" t="s">
        <v>423</v>
      </c>
      <c r="E42" t="s">
        <v>424</v>
      </c>
      <c r="F42">
        <v>145</v>
      </c>
      <c r="G42">
        <v>814</v>
      </c>
      <c r="H42" t="s">
        <v>509</v>
      </c>
      <c r="I42" t="s">
        <v>454</v>
      </c>
      <c r="J42" t="s">
        <v>422</v>
      </c>
      <c r="K42" s="1">
        <v>29988</v>
      </c>
      <c r="L42" s="1">
        <v>30018</v>
      </c>
      <c r="M42">
        <v>0.17810000000000001</v>
      </c>
      <c r="N42" s="10">
        <f t="shared" si="0"/>
        <v>30</v>
      </c>
      <c r="O42" s="3" t="str">
        <f t="shared" si="1"/>
        <v>Normal</v>
      </c>
      <c r="P42" s="3" t="str">
        <f t="shared" si="2"/>
        <v>February</v>
      </c>
    </row>
    <row r="43" spans="1:16" x14ac:dyDescent="0.3">
      <c r="A43">
        <v>199</v>
      </c>
      <c r="B43">
        <v>2620</v>
      </c>
      <c r="C43" t="s">
        <v>434</v>
      </c>
      <c r="D43" t="s">
        <v>418</v>
      </c>
      <c r="E43" t="s">
        <v>419</v>
      </c>
      <c r="F43">
        <v>829</v>
      </c>
      <c r="G43">
        <v>1145</v>
      </c>
      <c r="H43" t="s">
        <v>510</v>
      </c>
      <c r="I43" t="s">
        <v>511</v>
      </c>
      <c r="J43" t="s">
        <v>430</v>
      </c>
      <c r="K43" s="1">
        <v>39290</v>
      </c>
      <c r="M43">
        <v>0.72399999999999998</v>
      </c>
      <c r="N43" s="9" t="str">
        <f t="shared" si="0"/>
        <v/>
      </c>
      <c r="O43" s="2" t="str">
        <f t="shared" si="1"/>
        <v>Delayed</v>
      </c>
      <c r="P43" s="2" t="str">
        <f t="shared" si="2"/>
        <v>July</v>
      </c>
    </row>
    <row r="44" spans="1:16" x14ac:dyDescent="0.3">
      <c r="A44">
        <v>228</v>
      </c>
      <c r="B44">
        <v>1164</v>
      </c>
      <c r="C44" t="s">
        <v>434</v>
      </c>
      <c r="D44" t="s">
        <v>418</v>
      </c>
      <c r="E44" t="s">
        <v>419</v>
      </c>
      <c r="F44">
        <v>269</v>
      </c>
      <c r="G44">
        <v>902</v>
      </c>
      <c r="H44" t="s">
        <v>454</v>
      </c>
      <c r="I44" t="s">
        <v>512</v>
      </c>
      <c r="J44" t="s">
        <v>422</v>
      </c>
      <c r="K44" s="1">
        <v>34423</v>
      </c>
      <c r="L44" s="1">
        <v>34433</v>
      </c>
      <c r="M44">
        <v>0.29820000000000002</v>
      </c>
      <c r="N44" s="10">
        <f t="shared" si="0"/>
        <v>10</v>
      </c>
      <c r="O44" s="3" t="str">
        <f t="shared" si="1"/>
        <v>Normal</v>
      </c>
      <c r="P44" s="3" t="str">
        <f t="shared" si="2"/>
        <v>March</v>
      </c>
    </row>
    <row r="45" spans="1:16" x14ac:dyDescent="0.3">
      <c r="A45">
        <v>908</v>
      </c>
      <c r="B45">
        <v>4711</v>
      </c>
      <c r="C45" t="s">
        <v>446</v>
      </c>
      <c r="D45" t="s">
        <v>423</v>
      </c>
      <c r="E45" t="s">
        <v>419</v>
      </c>
      <c r="F45">
        <v>660</v>
      </c>
      <c r="G45">
        <v>1470</v>
      </c>
      <c r="H45" t="s">
        <v>513</v>
      </c>
      <c r="I45" t="s">
        <v>514</v>
      </c>
      <c r="J45" t="s">
        <v>430</v>
      </c>
      <c r="K45" s="1">
        <v>36188</v>
      </c>
      <c r="M45">
        <v>0.44900000000000001</v>
      </c>
      <c r="N45" s="9" t="str">
        <f t="shared" si="0"/>
        <v/>
      </c>
      <c r="O45" s="2" t="str">
        <f t="shared" si="1"/>
        <v>Delayed</v>
      </c>
      <c r="P45" s="2" t="str">
        <f t="shared" si="2"/>
        <v>January</v>
      </c>
    </row>
    <row r="46" spans="1:16" x14ac:dyDescent="0.3">
      <c r="A46">
        <v>594</v>
      </c>
      <c r="B46">
        <v>4053</v>
      </c>
      <c r="C46" t="s">
        <v>431</v>
      </c>
      <c r="D46" t="s">
        <v>418</v>
      </c>
      <c r="E46" t="s">
        <v>419</v>
      </c>
      <c r="F46">
        <v>484</v>
      </c>
      <c r="G46">
        <v>568</v>
      </c>
      <c r="H46" t="s">
        <v>515</v>
      </c>
      <c r="I46" t="s">
        <v>516</v>
      </c>
      <c r="J46" t="s">
        <v>430</v>
      </c>
      <c r="K46" s="1">
        <v>38066</v>
      </c>
      <c r="M46">
        <v>0.85209999999999997</v>
      </c>
      <c r="N46" s="10" t="str">
        <f t="shared" si="0"/>
        <v/>
      </c>
      <c r="O46" s="3" t="str">
        <f t="shared" si="1"/>
        <v>Delayed</v>
      </c>
      <c r="P46" s="3" t="str">
        <f t="shared" si="2"/>
        <v>March</v>
      </c>
    </row>
    <row r="47" spans="1:16" x14ac:dyDescent="0.3">
      <c r="A47">
        <v>542</v>
      </c>
      <c r="B47">
        <v>4272</v>
      </c>
      <c r="C47" t="s">
        <v>437</v>
      </c>
      <c r="D47" t="s">
        <v>423</v>
      </c>
      <c r="E47" t="s">
        <v>419</v>
      </c>
      <c r="F47">
        <v>100</v>
      </c>
      <c r="G47">
        <v>487</v>
      </c>
      <c r="H47" t="s">
        <v>517</v>
      </c>
      <c r="I47" t="s">
        <v>518</v>
      </c>
      <c r="J47" t="s">
        <v>430</v>
      </c>
      <c r="K47" s="1">
        <v>31551</v>
      </c>
      <c r="M47">
        <v>0.20530000000000001</v>
      </c>
      <c r="N47" s="9" t="str">
        <f t="shared" si="0"/>
        <v/>
      </c>
      <c r="O47" s="2" t="str">
        <f t="shared" si="1"/>
        <v>Delayed</v>
      </c>
      <c r="P47" s="2" t="str">
        <f t="shared" si="2"/>
        <v>May</v>
      </c>
    </row>
    <row r="48" spans="1:16" x14ac:dyDescent="0.3">
      <c r="A48">
        <v>586</v>
      </c>
      <c r="B48">
        <v>7005</v>
      </c>
      <c r="C48" t="s">
        <v>463</v>
      </c>
      <c r="D48" t="s">
        <v>418</v>
      </c>
      <c r="E48" t="s">
        <v>424</v>
      </c>
      <c r="F48">
        <v>711</v>
      </c>
      <c r="G48">
        <v>1197</v>
      </c>
      <c r="H48" t="s">
        <v>519</v>
      </c>
      <c r="I48" t="s">
        <v>520</v>
      </c>
      <c r="J48" t="s">
        <v>430</v>
      </c>
      <c r="K48" s="1">
        <v>28192</v>
      </c>
      <c r="M48">
        <v>0.59399999999999997</v>
      </c>
      <c r="N48" s="10" t="str">
        <f t="shared" si="0"/>
        <v/>
      </c>
      <c r="O48" s="3" t="str">
        <f t="shared" si="1"/>
        <v>Delayed</v>
      </c>
      <c r="P48" s="3" t="str">
        <f t="shared" si="2"/>
        <v>March</v>
      </c>
    </row>
    <row r="49" spans="1:16" x14ac:dyDescent="0.3">
      <c r="A49">
        <v>636</v>
      </c>
      <c r="B49">
        <v>2308</v>
      </c>
      <c r="C49" t="s">
        <v>431</v>
      </c>
      <c r="D49" t="s">
        <v>423</v>
      </c>
      <c r="E49" t="s">
        <v>419</v>
      </c>
      <c r="F49">
        <v>325</v>
      </c>
      <c r="G49">
        <v>994</v>
      </c>
      <c r="H49" t="s">
        <v>521</v>
      </c>
      <c r="I49" t="s">
        <v>522</v>
      </c>
      <c r="J49" t="s">
        <v>422</v>
      </c>
      <c r="K49" s="1">
        <v>39502</v>
      </c>
      <c r="L49" s="1">
        <v>39669</v>
      </c>
      <c r="M49">
        <v>0.32700000000000001</v>
      </c>
      <c r="N49" s="9">
        <f t="shared" si="0"/>
        <v>167</v>
      </c>
      <c r="O49" s="2" t="str">
        <f t="shared" si="1"/>
        <v>Delayed</v>
      </c>
      <c r="P49" s="2" t="str">
        <f t="shared" si="2"/>
        <v>February</v>
      </c>
    </row>
    <row r="50" spans="1:16" x14ac:dyDescent="0.3">
      <c r="A50">
        <v>581</v>
      </c>
      <c r="B50">
        <v>5150</v>
      </c>
      <c r="C50" t="s">
        <v>449</v>
      </c>
      <c r="D50" t="s">
        <v>418</v>
      </c>
      <c r="E50" t="s">
        <v>419</v>
      </c>
      <c r="F50">
        <v>209</v>
      </c>
      <c r="G50">
        <v>933</v>
      </c>
      <c r="H50" t="s">
        <v>523</v>
      </c>
      <c r="I50" t="s">
        <v>524</v>
      </c>
      <c r="J50" t="s">
        <v>430</v>
      </c>
      <c r="K50" s="1">
        <v>43063</v>
      </c>
      <c r="M50">
        <v>0.224</v>
      </c>
      <c r="N50" s="10" t="str">
        <f t="shared" si="0"/>
        <v/>
      </c>
      <c r="O50" s="3" t="str">
        <f t="shared" si="1"/>
        <v>Delayed</v>
      </c>
      <c r="P50" s="3" t="str">
        <f t="shared" si="2"/>
        <v>November</v>
      </c>
    </row>
    <row r="51" spans="1:16" x14ac:dyDescent="0.3">
      <c r="A51">
        <v>336</v>
      </c>
      <c r="B51">
        <v>693</v>
      </c>
      <c r="C51" t="s">
        <v>463</v>
      </c>
      <c r="D51" t="s">
        <v>423</v>
      </c>
      <c r="E51" t="s">
        <v>424</v>
      </c>
      <c r="F51">
        <v>996</v>
      </c>
      <c r="G51">
        <v>1168</v>
      </c>
      <c r="H51" t="s">
        <v>454</v>
      </c>
      <c r="I51" t="s">
        <v>525</v>
      </c>
      <c r="J51" t="s">
        <v>430</v>
      </c>
      <c r="K51" s="1">
        <v>26581</v>
      </c>
      <c r="M51">
        <v>0.85270000000000001</v>
      </c>
      <c r="N51" s="9" t="str">
        <f t="shared" si="0"/>
        <v/>
      </c>
      <c r="O51" s="2" t="str">
        <f t="shared" si="1"/>
        <v>Delayed</v>
      </c>
      <c r="P51" s="2" t="str">
        <f t="shared" si="2"/>
        <v>October</v>
      </c>
    </row>
    <row r="52" spans="1:16" x14ac:dyDescent="0.3">
      <c r="A52">
        <v>504</v>
      </c>
      <c r="B52">
        <v>9598</v>
      </c>
      <c r="C52" t="s">
        <v>427</v>
      </c>
      <c r="D52" t="s">
        <v>423</v>
      </c>
      <c r="E52" t="s">
        <v>419</v>
      </c>
      <c r="F52">
        <v>420</v>
      </c>
      <c r="G52">
        <v>561</v>
      </c>
      <c r="H52" t="s">
        <v>526</v>
      </c>
      <c r="I52" t="s">
        <v>527</v>
      </c>
      <c r="J52" t="s">
        <v>422</v>
      </c>
      <c r="K52" s="1">
        <v>30143</v>
      </c>
      <c r="L52" s="1">
        <v>30239</v>
      </c>
      <c r="M52">
        <v>0.74870000000000003</v>
      </c>
      <c r="N52" s="10">
        <f t="shared" si="0"/>
        <v>96</v>
      </c>
      <c r="O52" s="3" t="str">
        <f t="shared" si="1"/>
        <v>Delayed</v>
      </c>
      <c r="P52" s="3" t="str">
        <f t="shared" si="2"/>
        <v>July</v>
      </c>
    </row>
    <row r="53" spans="1:16" x14ac:dyDescent="0.3">
      <c r="A53">
        <v>346</v>
      </c>
      <c r="B53">
        <v>8103</v>
      </c>
      <c r="C53" t="s">
        <v>443</v>
      </c>
      <c r="D53" t="s">
        <v>423</v>
      </c>
      <c r="E53" t="s">
        <v>424</v>
      </c>
      <c r="F53">
        <v>182</v>
      </c>
      <c r="G53">
        <v>850</v>
      </c>
      <c r="H53" t="s">
        <v>528</v>
      </c>
      <c r="I53" t="s">
        <v>529</v>
      </c>
      <c r="J53" t="s">
        <v>422</v>
      </c>
      <c r="K53" s="1">
        <v>39238</v>
      </c>
      <c r="L53" s="1">
        <v>39275</v>
      </c>
      <c r="M53">
        <v>0.21410000000000001</v>
      </c>
      <c r="N53" s="9">
        <f t="shared" si="0"/>
        <v>37</v>
      </c>
      <c r="O53" s="2" t="str">
        <f t="shared" si="1"/>
        <v>Delayed</v>
      </c>
      <c r="P53" s="2" t="str">
        <f t="shared" si="2"/>
        <v>June</v>
      </c>
    </row>
    <row r="54" spans="1:16" x14ac:dyDescent="0.3">
      <c r="A54">
        <v>135</v>
      </c>
      <c r="B54">
        <v>8894</v>
      </c>
      <c r="C54" t="s">
        <v>463</v>
      </c>
      <c r="D54" t="s">
        <v>418</v>
      </c>
      <c r="E54" t="s">
        <v>424</v>
      </c>
      <c r="F54">
        <v>901</v>
      </c>
      <c r="G54">
        <v>1393</v>
      </c>
      <c r="H54" t="s">
        <v>530</v>
      </c>
      <c r="I54" t="s">
        <v>531</v>
      </c>
      <c r="J54" t="s">
        <v>430</v>
      </c>
      <c r="K54" s="1">
        <v>38240</v>
      </c>
      <c r="M54">
        <v>0.64680000000000004</v>
      </c>
      <c r="N54" s="10" t="str">
        <f t="shared" si="0"/>
        <v/>
      </c>
      <c r="O54" s="3" t="str">
        <f t="shared" si="1"/>
        <v>Delayed</v>
      </c>
      <c r="P54" s="3" t="str">
        <f t="shared" si="2"/>
        <v>September</v>
      </c>
    </row>
    <row r="55" spans="1:16" x14ac:dyDescent="0.3">
      <c r="A55">
        <v>822</v>
      </c>
      <c r="B55">
        <v>114</v>
      </c>
      <c r="C55" t="s">
        <v>463</v>
      </c>
      <c r="D55" t="s">
        <v>423</v>
      </c>
      <c r="E55" t="s">
        <v>419</v>
      </c>
      <c r="F55">
        <v>88</v>
      </c>
      <c r="G55">
        <v>426</v>
      </c>
      <c r="H55" t="s">
        <v>532</v>
      </c>
      <c r="I55" t="s">
        <v>533</v>
      </c>
      <c r="J55" t="s">
        <v>422</v>
      </c>
      <c r="K55" s="1">
        <v>33419</v>
      </c>
      <c r="L55" s="1">
        <v>33434</v>
      </c>
      <c r="M55">
        <v>0.20660000000000001</v>
      </c>
      <c r="N55" s="9">
        <f t="shared" si="0"/>
        <v>15</v>
      </c>
      <c r="O55" s="2" t="str">
        <f t="shared" si="1"/>
        <v>Normal</v>
      </c>
      <c r="P55" s="2" t="str">
        <f t="shared" si="2"/>
        <v>June</v>
      </c>
    </row>
    <row r="56" spans="1:16" x14ac:dyDescent="0.3">
      <c r="A56">
        <v>95</v>
      </c>
      <c r="B56">
        <v>6546</v>
      </c>
      <c r="C56" t="s">
        <v>434</v>
      </c>
      <c r="D56" t="s">
        <v>418</v>
      </c>
      <c r="E56" t="s">
        <v>419</v>
      </c>
      <c r="F56">
        <v>660</v>
      </c>
      <c r="G56">
        <v>1208</v>
      </c>
      <c r="H56" t="s">
        <v>534</v>
      </c>
      <c r="I56" t="s">
        <v>535</v>
      </c>
      <c r="J56" t="s">
        <v>430</v>
      </c>
      <c r="K56" s="1">
        <v>41375</v>
      </c>
      <c r="M56">
        <v>0.5464</v>
      </c>
      <c r="N56" s="10" t="str">
        <f t="shared" si="0"/>
        <v/>
      </c>
      <c r="O56" s="3" t="str">
        <f t="shared" si="1"/>
        <v>Delayed</v>
      </c>
      <c r="P56" s="3" t="str">
        <f t="shared" si="2"/>
        <v>April</v>
      </c>
    </row>
    <row r="57" spans="1:16" x14ac:dyDescent="0.3">
      <c r="A57">
        <v>597</v>
      </c>
      <c r="B57">
        <v>3571</v>
      </c>
      <c r="C57" t="s">
        <v>427</v>
      </c>
      <c r="D57" t="s">
        <v>418</v>
      </c>
      <c r="E57" t="s">
        <v>419</v>
      </c>
      <c r="F57">
        <v>267</v>
      </c>
      <c r="G57">
        <v>925</v>
      </c>
      <c r="H57" t="s">
        <v>536</v>
      </c>
      <c r="I57" t="s">
        <v>537</v>
      </c>
      <c r="J57" t="s">
        <v>430</v>
      </c>
      <c r="K57" s="1">
        <v>40385</v>
      </c>
      <c r="M57">
        <v>0.28860000000000002</v>
      </c>
      <c r="N57" s="9" t="str">
        <f t="shared" si="0"/>
        <v/>
      </c>
      <c r="O57" s="2" t="str">
        <f t="shared" si="1"/>
        <v>Delayed</v>
      </c>
      <c r="P57" s="2" t="str">
        <f t="shared" si="2"/>
        <v>July</v>
      </c>
    </row>
    <row r="58" spans="1:16" x14ac:dyDescent="0.3">
      <c r="A58">
        <v>340</v>
      </c>
      <c r="B58">
        <v>7316</v>
      </c>
      <c r="C58" t="s">
        <v>440</v>
      </c>
      <c r="D58" t="s">
        <v>423</v>
      </c>
      <c r="E58" t="s">
        <v>424</v>
      </c>
      <c r="F58">
        <v>905</v>
      </c>
      <c r="G58">
        <v>1392</v>
      </c>
      <c r="H58" t="s">
        <v>538</v>
      </c>
      <c r="I58" t="s">
        <v>539</v>
      </c>
      <c r="J58" t="s">
        <v>430</v>
      </c>
      <c r="K58" s="1">
        <v>29893</v>
      </c>
      <c r="M58">
        <v>0.65010000000000001</v>
      </c>
      <c r="N58" s="10" t="str">
        <f t="shared" si="0"/>
        <v/>
      </c>
      <c r="O58" s="3" t="str">
        <f t="shared" si="1"/>
        <v>Delayed</v>
      </c>
      <c r="P58" s="3" t="str">
        <f t="shared" si="2"/>
        <v>November</v>
      </c>
    </row>
    <row r="59" spans="1:16" x14ac:dyDescent="0.3">
      <c r="A59">
        <v>905</v>
      </c>
      <c r="B59">
        <v>2478</v>
      </c>
      <c r="C59" t="s">
        <v>427</v>
      </c>
      <c r="D59" t="s">
        <v>418</v>
      </c>
      <c r="E59" t="s">
        <v>424</v>
      </c>
      <c r="F59">
        <v>799</v>
      </c>
      <c r="G59">
        <v>1425</v>
      </c>
      <c r="H59" t="s">
        <v>540</v>
      </c>
      <c r="I59" t="s">
        <v>541</v>
      </c>
      <c r="J59" t="s">
        <v>422</v>
      </c>
      <c r="K59" s="1">
        <v>30417</v>
      </c>
      <c r="L59" s="1">
        <v>30589</v>
      </c>
      <c r="M59">
        <v>0.56069999999999998</v>
      </c>
      <c r="N59" s="9">
        <f t="shared" si="0"/>
        <v>172</v>
      </c>
      <c r="O59" s="2" t="str">
        <f t="shared" si="1"/>
        <v>Delayed</v>
      </c>
      <c r="P59" s="2" t="str">
        <f t="shared" si="2"/>
        <v>April</v>
      </c>
    </row>
    <row r="60" spans="1:16" x14ac:dyDescent="0.3">
      <c r="A60">
        <v>250</v>
      </c>
      <c r="B60">
        <v>1215</v>
      </c>
      <c r="C60" t="s">
        <v>463</v>
      </c>
      <c r="D60" t="s">
        <v>423</v>
      </c>
      <c r="E60" t="s">
        <v>424</v>
      </c>
      <c r="F60">
        <v>773</v>
      </c>
      <c r="G60">
        <v>1225</v>
      </c>
      <c r="H60" t="s">
        <v>542</v>
      </c>
      <c r="I60" t="s">
        <v>543</v>
      </c>
      <c r="J60" t="s">
        <v>422</v>
      </c>
      <c r="K60" s="1">
        <v>38978</v>
      </c>
      <c r="L60" s="1">
        <v>39012</v>
      </c>
      <c r="M60">
        <v>0.63100000000000001</v>
      </c>
      <c r="N60" s="10">
        <f t="shared" si="0"/>
        <v>34</v>
      </c>
      <c r="O60" s="3" t="str">
        <f t="shared" si="1"/>
        <v>Delayed</v>
      </c>
      <c r="P60" s="3" t="str">
        <f t="shared" si="2"/>
        <v>September</v>
      </c>
    </row>
    <row r="61" spans="1:16" x14ac:dyDescent="0.3">
      <c r="A61">
        <v>400</v>
      </c>
      <c r="B61">
        <v>5402</v>
      </c>
      <c r="C61" t="s">
        <v>427</v>
      </c>
      <c r="D61" t="s">
        <v>418</v>
      </c>
      <c r="E61" t="s">
        <v>424</v>
      </c>
      <c r="F61">
        <v>78</v>
      </c>
      <c r="G61">
        <v>403</v>
      </c>
      <c r="H61" t="s">
        <v>544</v>
      </c>
      <c r="I61" t="s">
        <v>545</v>
      </c>
      <c r="J61" t="s">
        <v>430</v>
      </c>
      <c r="K61" s="1">
        <v>37628</v>
      </c>
      <c r="M61">
        <v>0.19350000000000001</v>
      </c>
      <c r="N61" s="9" t="str">
        <f t="shared" si="0"/>
        <v/>
      </c>
      <c r="O61" s="2" t="str">
        <f t="shared" si="1"/>
        <v>Delayed</v>
      </c>
      <c r="P61" s="2" t="str">
        <f t="shared" si="2"/>
        <v>January</v>
      </c>
    </row>
    <row r="62" spans="1:16" x14ac:dyDescent="0.3">
      <c r="A62">
        <v>877</v>
      </c>
      <c r="B62">
        <v>1647</v>
      </c>
      <c r="C62" t="s">
        <v>443</v>
      </c>
      <c r="D62" t="s">
        <v>418</v>
      </c>
      <c r="E62" t="s">
        <v>424</v>
      </c>
      <c r="F62">
        <v>791</v>
      </c>
      <c r="G62">
        <v>1169</v>
      </c>
      <c r="H62" t="s">
        <v>546</v>
      </c>
      <c r="I62" t="s">
        <v>547</v>
      </c>
      <c r="J62" t="s">
        <v>422</v>
      </c>
      <c r="K62" s="1">
        <v>36550</v>
      </c>
      <c r="L62" s="1">
        <v>36607</v>
      </c>
      <c r="M62">
        <v>0.67659999999999998</v>
      </c>
      <c r="N62" s="10">
        <f t="shared" si="0"/>
        <v>57</v>
      </c>
      <c r="O62" s="3" t="str">
        <f t="shared" si="1"/>
        <v>Delayed</v>
      </c>
      <c r="P62" s="3" t="str">
        <f t="shared" si="2"/>
        <v>January</v>
      </c>
    </row>
    <row r="63" spans="1:16" x14ac:dyDescent="0.3">
      <c r="A63">
        <v>97</v>
      </c>
      <c r="B63">
        <v>9423</v>
      </c>
      <c r="C63" t="s">
        <v>463</v>
      </c>
      <c r="D63" t="s">
        <v>418</v>
      </c>
      <c r="E63" t="s">
        <v>424</v>
      </c>
      <c r="F63">
        <v>603</v>
      </c>
      <c r="G63">
        <v>1167</v>
      </c>
      <c r="H63" t="s">
        <v>548</v>
      </c>
      <c r="I63" t="s">
        <v>444</v>
      </c>
      <c r="J63" t="s">
        <v>430</v>
      </c>
      <c r="K63" s="1">
        <v>40688</v>
      </c>
      <c r="M63">
        <v>0.51670000000000005</v>
      </c>
      <c r="N63" s="9" t="str">
        <f t="shared" si="0"/>
        <v/>
      </c>
      <c r="O63" s="2" t="str">
        <f t="shared" si="1"/>
        <v>Delayed</v>
      </c>
      <c r="P63" s="2" t="str">
        <f t="shared" si="2"/>
        <v>May</v>
      </c>
    </row>
    <row r="64" spans="1:16" x14ac:dyDescent="0.3">
      <c r="A64">
        <v>12</v>
      </c>
      <c r="B64">
        <v>6404</v>
      </c>
      <c r="C64" t="s">
        <v>463</v>
      </c>
      <c r="D64" t="s">
        <v>418</v>
      </c>
      <c r="E64" t="s">
        <v>419</v>
      </c>
      <c r="F64">
        <v>360</v>
      </c>
      <c r="G64">
        <v>565</v>
      </c>
      <c r="H64" t="s">
        <v>549</v>
      </c>
      <c r="I64" t="s">
        <v>550</v>
      </c>
      <c r="J64" t="s">
        <v>430</v>
      </c>
      <c r="K64" s="1">
        <v>36695</v>
      </c>
      <c r="M64">
        <v>0.63719999999999999</v>
      </c>
      <c r="N64" s="10" t="str">
        <f t="shared" si="0"/>
        <v/>
      </c>
      <c r="O64" s="3" t="str">
        <f t="shared" si="1"/>
        <v>Delayed</v>
      </c>
      <c r="P64" s="3" t="str">
        <f t="shared" si="2"/>
        <v>June</v>
      </c>
    </row>
    <row r="65" spans="1:16" x14ac:dyDescent="0.3">
      <c r="A65">
        <v>353</v>
      </c>
      <c r="B65">
        <v>6767</v>
      </c>
      <c r="C65" t="s">
        <v>440</v>
      </c>
      <c r="D65" t="s">
        <v>418</v>
      </c>
      <c r="E65" t="s">
        <v>424</v>
      </c>
      <c r="F65">
        <v>84</v>
      </c>
      <c r="G65">
        <v>354</v>
      </c>
      <c r="H65" t="s">
        <v>551</v>
      </c>
      <c r="I65" t="s">
        <v>552</v>
      </c>
      <c r="J65" t="s">
        <v>422</v>
      </c>
      <c r="K65" s="1">
        <v>41123</v>
      </c>
      <c r="L65" s="1">
        <v>41186</v>
      </c>
      <c r="M65">
        <v>0.23730000000000001</v>
      </c>
      <c r="N65" s="9">
        <f t="shared" si="0"/>
        <v>63</v>
      </c>
      <c r="O65" s="2" t="str">
        <f t="shared" si="1"/>
        <v>Delayed</v>
      </c>
      <c r="P65" s="2" t="str">
        <f t="shared" si="2"/>
        <v>August</v>
      </c>
    </row>
    <row r="66" spans="1:16" x14ac:dyDescent="0.3">
      <c r="A66">
        <v>856</v>
      </c>
      <c r="B66">
        <v>1278</v>
      </c>
      <c r="C66" t="s">
        <v>449</v>
      </c>
      <c r="D66" t="s">
        <v>418</v>
      </c>
      <c r="E66" t="s">
        <v>419</v>
      </c>
      <c r="F66">
        <v>880</v>
      </c>
      <c r="G66">
        <v>1178</v>
      </c>
      <c r="H66" t="s">
        <v>553</v>
      </c>
      <c r="I66" t="s">
        <v>554</v>
      </c>
      <c r="J66" t="s">
        <v>422</v>
      </c>
      <c r="K66" s="1">
        <v>28302</v>
      </c>
      <c r="L66" s="1">
        <v>28437</v>
      </c>
      <c r="M66">
        <v>0.747</v>
      </c>
      <c r="N66" s="10">
        <f t="shared" si="0"/>
        <v>135</v>
      </c>
      <c r="O66" s="3" t="str">
        <f t="shared" si="1"/>
        <v>Delayed</v>
      </c>
      <c r="P66" s="3" t="str">
        <f t="shared" si="2"/>
        <v>June</v>
      </c>
    </row>
    <row r="67" spans="1:16" x14ac:dyDescent="0.3">
      <c r="A67">
        <v>1</v>
      </c>
      <c r="B67">
        <v>1334</v>
      </c>
      <c r="C67" t="s">
        <v>474</v>
      </c>
      <c r="D67" t="s">
        <v>423</v>
      </c>
      <c r="E67" t="s">
        <v>424</v>
      </c>
      <c r="F67">
        <v>947</v>
      </c>
      <c r="G67">
        <v>1385</v>
      </c>
      <c r="H67" t="s">
        <v>555</v>
      </c>
      <c r="I67" t="s">
        <v>556</v>
      </c>
      <c r="J67" t="s">
        <v>422</v>
      </c>
      <c r="K67" s="1">
        <v>40222</v>
      </c>
      <c r="L67" s="1">
        <v>40512</v>
      </c>
      <c r="M67">
        <v>0.68379999999999996</v>
      </c>
      <c r="N67" s="9">
        <f t="shared" ref="N67:N130" si="3">IF(OR(K67="",L67=""),"",L67-K67)</f>
        <v>290</v>
      </c>
      <c r="O67" s="2" t="str">
        <f t="shared" ref="O67:O130" si="4">IF(N67&lt;0,"Invalid",IF(N67&lt;=7,"Fast",IF(N67&lt;=30,"Normal","Delayed")))</f>
        <v>Delayed</v>
      </c>
      <c r="P67" s="2" t="str">
        <f t="shared" ref="P67:P130" si="5">TEXT(K67,"mmmm")</f>
        <v>February</v>
      </c>
    </row>
    <row r="68" spans="1:16" x14ac:dyDescent="0.3">
      <c r="A68">
        <v>390</v>
      </c>
      <c r="B68">
        <v>8887</v>
      </c>
      <c r="C68" t="s">
        <v>449</v>
      </c>
      <c r="D68" t="s">
        <v>418</v>
      </c>
      <c r="E68" t="s">
        <v>419</v>
      </c>
      <c r="F68">
        <v>234</v>
      </c>
      <c r="G68">
        <v>780</v>
      </c>
      <c r="H68" t="s">
        <v>557</v>
      </c>
      <c r="I68" t="s">
        <v>558</v>
      </c>
      <c r="J68" t="s">
        <v>422</v>
      </c>
      <c r="K68" s="1">
        <v>39896</v>
      </c>
      <c r="L68" s="1">
        <v>39881</v>
      </c>
      <c r="M68">
        <v>0.3</v>
      </c>
      <c r="N68" s="10">
        <f t="shared" si="3"/>
        <v>-15</v>
      </c>
      <c r="O68" s="3" t="str">
        <f t="shared" si="4"/>
        <v>Invalid</v>
      </c>
      <c r="P68" s="3" t="str">
        <f t="shared" si="5"/>
        <v>March</v>
      </c>
    </row>
    <row r="69" spans="1:16" x14ac:dyDescent="0.3">
      <c r="A69">
        <v>446</v>
      </c>
      <c r="B69">
        <v>9858</v>
      </c>
      <c r="C69" t="s">
        <v>437</v>
      </c>
      <c r="D69" t="s">
        <v>418</v>
      </c>
      <c r="E69" t="s">
        <v>424</v>
      </c>
      <c r="F69">
        <v>931</v>
      </c>
      <c r="G69">
        <v>1247</v>
      </c>
      <c r="H69" t="s">
        <v>559</v>
      </c>
      <c r="I69" t="s">
        <v>560</v>
      </c>
      <c r="J69" t="s">
        <v>430</v>
      </c>
      <c r="K69" s="1">
        <v>34084</v>
      </c>
      <c r="M69">
        <v>0.74660000000000004</v>
      </c>
      <c r="N69" s="9" t="str">
        <f t="shared" si="3"/>
        <v/>
      </c>
      <c r="O69" s="2" t="str">
        <f t="shared" si="4"/>
        <v>Delayed</v>
      </c>
      <c r="P69" s="2" t="str">
        <f t="shared" si="5"/>
        <v>April</v>
      </c>
    </row>
    <row r="70" spans="1:16" x14ac:dyDescent="0.3">
      <c r="A70">
        <v>32</v>
      </c>
      <c r="B70">
        <v>9636</v>
      </c>
      <c r="C70" t="s">
        <v>474</v>
      </c>
      <c r="D70" t="s">
        <v>418</v>
      </c>
      <c r="E70" t="s">
        <v>424</v>
      </c>
      <c r="F70">
        <v>478</v>
      </c>
      <c r="G70">
        <v>705</v>
      </c>
      <c r="H70" t="s">
        <v>561</v>
      </c>
      <c r="I70" t="s">
        <v>562</v>
      </c>
      <c r="J70" t="s">
        <v>430</v>
      </c>
      <c r="K70" s="1">
        <v>38229</v>
      </c>
      <c r="M70">
        <v>0.67800000000000005</v>
      </c>
      <c r="N70" s="10" t="str">
        <f t="shared" si="3"/>
        <v/>
      </c>
      <c r="O70" s="3" t="str">
        <f t="shared" si="4"/>
        <v>Delayed</v>
      </c>
      <c r="P70" s="3" t="str">
        <f t="shared" si="5"/>
        <v>August</v>
      </c>
    </row>
    <row r="71" spans="1:16" x14ac:dyDescent="0.3">
      <c r="A71">
        <v>420</v>
      </c>
      <c r="B71">
        <v>9943</v>
      </c>
      <c r="C71" t="s">
        <v>443</v>
      </c>
      <c r="D71" t="s">
        <v>418</v>
      </c>
      <c r="E71" t="s">
        <v>424</v>
      </c>
      <c r="F71">
        <v>638</v>
      </c>
      <c r="G71">
        <v>1130</v>
      </c>
      <c r="H71" t="s">
        <v>563</v>
      </c>
      <c r="I71" t="s">
        <v>564</v>
      </c>
      <c r="J71" t="s">
        <v>430</v>
      </c>
      <c r="K71" s="1">
        <v>32510</v>
      </c>
      <c r="M71">
        <v>0.56459999999999999</v>
      </c>
      <c r="N71" s="9" t="str">
        <f t="shared" si="3"/>
        <v/>
      </c>
      <c r="O71" s="2" t="str">
        <f t="shared" si="4"/>
        <v>Delayed</v>
      </c>
      <c r="P71" s="2" t="str">
        <f t="shared" si="5"/>
        <v>January</v>
      </c>
    </row>
    <row r="72" spans="1:16" x14ac:dyDescent="0.3">
      <c r="A72">
        <v>708</v>
      </c>
      <c r="B72">
        <v>1246</v>
      </c>
      <c r="C72" t="s">
        <v>443</v>
      </c>
      <c r="D72" t="s">
        <v>418</v>
      </c>
      <c r="E72" t="s">
        <v>424</v>
      </c>
      <c r="F72">
        <v>50</v>
      </c>
      <c r="G72">
        <v>72</v>
      </c>
      <c r="H72" t="s">
        <v>565</v>
      </c>
      <c r="I72" t="s">
        <v>566</v>
      </c>
      <c r="J72" t="s">
        <v>422</v>
      </c>
      <c r="K72" s="1">
        <v>43515</v>
      </c>
      <c r="L72" s="1">
        <v>43677</v>
      </c>
      <c r="M72">
        <v>0.69440000000000002</v>
      </c>
      <c r="N72" s="10">
        <f t="shared" si="3"/>
        <v>162</v>
      </c>
      <c r="O72" s="3" t="str">
        <f t="shared" si="4"/>
        <v>Delayed</v>
      </c>
      <c r="P72" s="3" t="str">
        <f t="shared" si="5"/>
        <v>February</v>
      </c>
    </row>
    <row r="73" spans="1:16" x14ac:dyDescent="0.3">
      <c r="A73">
        <v>227</v>
      </c>
      <c r="B73">
        <v>4527</v>
      </c>
      <c r="C73" t="s">
        <v>443</v>
      </c>
      <c r="D73" t="s">
        <v>423</v>
      </c>
      <c r="E73" t="s">
        <v>419</v>
      </c>
      <c r="F73">
        <v>477</v>
      </c>
      <c r="G73">
        <v>564</v>
      </c>
      <c r="H73" t="s">
        <v>567</v>
      </c>
      <c r="I73" t="s">
        <v>568</v>
      </c>
      <c r="J73" t="s">
        <v>422</v>
      </c>
      <c r="K73" s="1">
        <v>37281</v>
      </c>
      <c r="L73" s="1">
        <v>37261</v>
      </c>
      <c r="M73">
        <v>0.84570000000000001</v>
      </c>
      <c r="N73" s="9">
        <f t="shared" si="3"/>
        <v>-20</v>
      </c>
      <c r="O73" s="2" t="str">
        <f t="shared" si="4"/>
        <v>Invalid</v>
      </c>
      <c r="P73" s="2" t="str">
        <f t="shared" si="5"/>
        <v>January</v>
      </c>
    </row>
    <row r="74" spans="1:16" x14ac:dyDescent="0.3">
      <c r="A74">
        <v>595</v>
      </c>
      <c r="B74">
        <v>3782</v>
      </c>
      <c r="C74" t="s">
        <v>440</v>
      </c>
      <c r="D74" t="s">
        <v>423</v>
      </c>
      <c r="E74" t="s">
        <v>419</v>
      </c>
      <c r="F74">
        <v>879</v>
      </c>
      <c r="G74">
        <v>1040</v>
      </c>
      <c r="H74" t="s">
        <v>569</v>
      </c>
      <c r="I74" t="s">
        <v>570</v>
      </c>
      <c r="J74" t="s">
        <v>430</v>
      </c>
      <c r="K74" s="1">
        <v>37751</v>
      </c>
      <c r="M74">
        <v>0.84519999999999995</v>
      </c>
      <c r="N74" s="10" t="str">
        <f t="shared" si="3"/>
        <v/>
      </c>
      <c r="O74" s="3" t="str">
        <f t="shared" si="4"/>
        <v>Delayed</v>
      </c>
      <c r="P74" s="3" t="str">
        <f t="shared" si="5"/>
        <v>May</v>
      </c>
    </row>
    <row r="75" spans="1:16" x14ac:dyDescent="0.3">
      <c r="A75">
        <v>211</v>
      </c>
      <c r="B75">
        <v>6225</v>
      </c>
      <c r="C75" t="s">
        <v>434</v>
      </c>
      <c r="D75" t="s">
        <v>418</v>
      </c>
      <c r="E75" t="s">
        <v>424</v>
      </c>
      <c r="F75">
        <v>912</v>
      </c>
      <c r="G75">
        <v>1220</v>
      </c>
      <c r="H75" t="s">
        <v>571</v>
      </c>
      <c r="I75" t="s">
        <v>572</v>
      </c>
      <c r="J75" t="s">
        <v>422</v>
      </c>
      <c r="K75" s="1">
        <v>38793</v>
      </c>
      <c r="L75" s="1">
        <v>39074</v>
      </c>
      <c r="M75">
        <v>0.74750000000000005</v>
      </c>
      <c r="N75" s="9">
        <f t="shared" si="3"/>
        <v>281</v>
      </c>
      <c r="O75" s="2" t="str">
        <f t="shared" si="4"/>
        <v>Delayed</v>
      </c>
      <c r="P75" s="2" t="str">
        <f t="shared" si="5"/>
        <v>March</v>
      </c>
    </row>
    <row r="76" spans="1:16" x14ac:dyDescent="0.3">
      <c r="A76">
        <v>650</v>
      </c>
      <c r="B76">
        <v>2257</v>
      </c>
      <c r="C76" t="s">
        <v>437</v>
      </c>
      <c r="D76" t="s">
        <v>423</v>
      </c>
      <c r="E76" t="s">
        <v>419</v>
      </c>
      <c r="F76">
        <v>868</v>
      </c>
      <c r="G76">
        <v>1141</v>
      </c>
      <c r="H76" t="s">
        <v>573</v>
      </c>
      <c r="I76" t="s">
        <v>574</v>
      </c>
      <c r="J76" t="s">
        <v>430</v>
      </c>
      <c r="K76" s="1">
        <v>39251</v>
      </c>
      <c r="M76">
        <v>0.76070000000000004</v>
      </c>
      <c r="N76" s="10" t="str">
        <f t="shared" si="3"/>
        <v/>
      </c>
      <c r="O76" s="3" t="str">
        <f t="shared" si="4"/>
        <v>Delayed</v>
      </c>
      <c r="P76" s="3" t="str">
        <f t="shared" si="5"/>
        <v>June</v>
      </c>
    </row>
    <row r="77" spans="1:16" x14ac:dyDescent="0.3">
      <c r="A77">
        <v>45</v>
      </c>
      <c r="B77">
        <v>9177</v>
      </c>
      <c r="C77" t="s">
        <v>417</v>
      </c>
      <c r="D77" t="s">
        <v>418</v>
      </c>
      <c r="E77" t="s">
        <v>424</v>
      </c>
      <c r="F77">
        <v>889</v>
      </c>
      <c r="G77">
        <v>1050</v>
      </c>
      <c r="H77" t="s">
        <v>575</v>
      </c>
      <c r="I77" t="s">
        <v>576</v>
      </c>
      <c r="J77" t="s">
        <v>422</v>
      </c>
      <c r="K77" s="1">
        <v>35127</v>
      </c>
      <c r="L77" s="1">
        <v>35186</v>
      </c>
      <c r="M77">
        <v>0.84670000000000001</v>
      </c>
      <c r="N77" s="9">
        <f t="shared" si="3"/>
        <v>59</v>
      </c>
      <c r="O77" s="2" t="str">
        <f t="shared" si="4"/>
        <v>Delayed</v>
      </c>
      <c r="P77" s="2" t="str">
        <f t="shared" si="5"/>
        <v>March</v>
      </c>
    </row>
    <row r="78" spans="1:16" x14ac:dyDescent="0.3">
      <c r="A78">
        <v>201</v>
      </c>
      <c r="B78">
        <v>8703</v>
      </c>
      <c r="C78" t="s">
        <v>431</v>
      </c>
      <c r="D78" t="s">
        <v>418</v>
      </c>
      <c r="E78" t="s">
        <v>419</v>
      </c>
      <c r="F78">
        <v>482</v>
      </c>
      <c r="G78">
        <v>850</v>
      </c>
      <c r="H78" t="s">
        <v>577</v>
      </c>
      <c r="I78" t="s">
        <v>578</v>
      </c>
      <c r="J78" t="s">
        <v>430</v>
      </c>
      <c r="K78" s="1">
        <v>30287</v>
      </c>
      <c r="M78">
        <v>0.56710000000000005</v>
      </c>
      <c r="N78" s="10" t="str">
        <f t="shared" si="3"/>
        <v/>
      </c>
      <c r="O78" s="3" t="str">
        <f t="shared" si="4"/>
        <v>Delayed</v>
      </c>
      <c r="P78" s="3" t="str">
        <f t="shared" si="5"/>
        <v>December</v>
      </c>
    </row>
    <row r="79" spans="1:16" x14ac:dyDescent="0.3">
      <c r="A79">
        <v>564</v>
      </c>
      <c r="B79">
        <v>3514</v>
      </c>
      <c r="C79" t="s">
        <v>417</v>
      </c>
      <c r="D79" t="s">
        <v>423</v>
      </c>
      <c r="E79" t="s">
        <v>424</v>
      </c>
      <c r="F79">
        <v>683</v>
      </c>
      <c r="G79">
        <v>1275</v>
      </c>
      <c r="H79" t="s">
        <v>579</v>
      </c>
      <c r="I79" t="s">
        <v>580</v>
      </c>
      <c r="J79" t="s">
        <v>422</v>
      </c>
      <c r="K79" s="1">
        <v>38109</v>
      </c>
      <c r="L79" s="1">
        <v>38255</v>
      </c>
      <c r="M79">
        <v>0.53569999999999995</v>
      </c>
      <c r="N79" s="9">
        <f t="shared" si="3"/>
        <v>146</v>
      </c>
      <c r="O79" s="2" t="str">
        <f t="shared" si="4"/>
        <v>Delayed</v>
      </c>
      <c r="P79" s="2" t="str">
        <f t="shared" si="5"/>
        <v>May</v>
      </c>
    </row>
    <row r="80" spans="1:16" x14ac:dyDescent="0.3">
      <c r="A80">
        <v>138</v>
      </c>
      <c r="B80">
        <v>3089</v>
      </c>
      <c r="C80" t="s">
        <v>431</v>
      </c>
      <c r="D80" t="s">
        <v>418</v>
      </c>
      <c r="E80" t="s">
        <v>419</v>
      </c>
      <c r="F80">
        <v>382</v>
      </c>
      <c r="G80">
        <v>714</v>
      </c>
      <c r="H80" t="s">
        <v>581</v>
      </c>
      <c r="I80" t="s">
        <v>582</v>
      </c>
      <c r="J80" t="s">
        <v>430</v>
      </c>
      <c r="K80" s="1">
        <v>39500</v>
      </c>
      <c r="M80">
        <v>0.53500000000000003</v>
      </c>
      <c r="N80" s="10" t="str">
        <f t="shared" si="3"/>
        <v/>
      </c>
      <c r="O80" s="3" t="str">
        <f t="shared" si="4"/>
        <v>Delayed</v>
      </c>
      <c r="P80" s="3" t="str">
        <f t="shared" si="5"/>
        <v>February</v>
      </c>
    </row>
    <row r="81" spans="1:16" x14ac:dyDescent="0.3">
      <c r="A81">
        <v>57</v>
      </c>
      <c r="B81">
        <v>7253</v>
      </c>
      <c r="C81" t="s">
        <v>463</v>
      </c>
      <c r="D81" t="s">
        <v>418</v>
      </c>
      <c r="E81" t="s">
        <v>419</v>
      </c>
      <c r="F81">
        <v>753</v>
      </c>
      <c r="G81">
        <v>1027</v>
      </c>
      <c r="H81" t="s">
        <v>583</v>
      </c>
      <c r="I81" t="s">
        <v>584</v>
      </c>
      <c r="J81" t="s">
        <v>422</v>
      </c>
      <c r="K81" s="1">
        <v>38064</v>
      </c>
      <c r="L81" s="1">
        <v>38048</v>
      </c>
      <c r="M81">
        <v>0.73319999999999996</v>
      </c>
      <c r="N81" s="9">
        <f t="shared" si="3"/>
        <v>-16</v>
      </c>
      <c r="O81" s="2" t="str">
        <f t="shared" si="4"/>
        <v>Invalid</v>
      </c>
      <c r="P81" s="2" t="str">
        <f t="shared" si="5"/>
        <v>March</v>
      </c>
    </row>
    <row r="82" spans="1:16" x14ac:dyDescent="0.3">
      <c r="A82">
        <v>128</v>
      </c>
      <c r="B82">
        <v>8786</v>
      </c>
      <c r="C82" t="s">
        <v>474</v>
      </c>
      <c r="D82" t="s">
        <v>423</v>
      </c>
      <c r="E82" t="s">
        <v>424</v>
      </c>
      <c r="F82">
        <v>718</v>
      </c>
      <c r="G82">
        <v>1486</v>
      </c>
      <c r="H82" t="s">
        <v>585</v>
      </c>
      <c r="I82" t="s">
        <v>586</v>
      </c>
      <c r="J82" t="s">
        <v>430</v>
      </c>
      <c r="K82" s="1">
        <v>33685</v>
      </c>
      <c r="M82">
        <v>0.48320000000000002</v>
      </c>
      <c r="N82" s="10" t="str">
        <f t="shared" si="3"/>
        <v/>
      </c>
      <c r="O82" s="3" t="str">
        <f t="shared" si="4"/>
        <v>Delayed</v>
      </c>
      <c r="P82" s="3" t="str">
        <f t="shared" si="5"/>
        <v>March</v>
      </c>
    </row>
    <row r="83" spans="1:16" x14ac:dyDescent="0.3">
      <c r="A83">
        <v>33</v>
      </c>
      <c r="B83">
        <v>1211</v>
      </c>
      <c r="C83" t="s">
        <v>443</v>
      </c>
      <c r="D83" t="s">
        <v>418</v>
      </c>
      <c r="E83" t="s">
        <v>424</v>
      </c>
      <c r="F83">
        <v>577</v>
      </c>
      <c r="G83">
        <v>1312</v>
      </c>
      <c r="H83" t="s">
        <v>587</v>
      </c>
      <c r="I83" t="s">
        <v>588</v>
      </c>
      <c r="J83" t="s">
        <v>430</v>
      </c>
      <c r="K83" s="1">
        <v>32238</v>
      </c>
      <c r="M83">
        <v>0.43980000000000002</v>
      </c>
      <c r="N83" s="9" t="str">
        <f t="shared" si="3"/>
        <v/>
      </c>
      <c r="O83" s="2" t="str">
        <f t="shared" si="4"/>
        <v>Delayed</v>
      </c>
      <c r="P83" s="2" t="str">
        <f t="shared" si="5"/>
        <v>April</v>
      </c>
    </row>
    <row r="84" spans="1:16" x14ac:dyDescent="0.3">
      <c r="A84">
        <v>936</v>
      </c>
      <c r="B84">
        <v>359</v>
      </c>
      <c r="C84" t="s">
        <v>434</v>
      </c>
      <c r="D84" t="s">
        <v>423</v>
      </c>
      <c r="E84" t="s">
        <v>424</v>
      </c>
      <c r="F84">
        <v>607</v>
      </c>
      <c r="G84">
        <v>1007</v>
      </c>
      <c r="H84" t="s">
        <v>589</v>
      </c>
      <c r="I84" t="s">
        <v>590</v>
      </c>
      <c r="J84" t="s">
        <v>430</v>
      </c>
      <c r="K84" s="1">
        <v>41314</v>
      </c>
      <c r="M84">
        <v>0.6028</v>
      </c>
      <c r="N84" s="10" t="str">
        <f t="shared" si="3"/>
        <v/>
      </c>
      <c r="O84" s="3" t="str">
        <f t="shared" si="4"/>
        <v>Delayed</v>
      </c>
      <c r="P84" s="3" t="str">
        <f t="shared" si="5"/>
        <v>February</v>
      </c>
    </row>
    <row r="85" spans="1:16" x14ac:dyDescent="0.3">
      <c r="A85">
        <v>762</v>
      </c>
      <c r="B85">
        <v>2066</v>
      </c>
      <c r="C85" t="s">
        <v>449</v>
      </c>
      <c r="D85" t="s">
        <v>423</v>
      </c>
      <c r="E85" t="s">
        <v>419</v>
      </c>
      <c r="F85">
        <v>242</v>
      </c>
      <c r="G85">
        <v>926</v>
      </c>
      <c r="H85" t="s">
        <v>591</v>
      </c>
      <c r="I85" t="s">
        <v>592</v>
      </c>
      <c r="J85" t="s">
        <v>430</v>
      </c>
      <c r="K85" s="1">
        <v>28570</v>
      </c>
      <c r="M85">
        <v>0.26129999999999998</v>
      </c>
      <c r="N85" s="9" t="str">
        <f t="shared" si="3"/>
        <v/>
      </c>
      <c r="O85" s="2" t="str">
        <f t="shared" si="4"/>
        <v>Delayed</v>
      </c>
      <c r="P85" s="2" t="str">
        <f t="shared" si="5"/>
        <v>March</v>
      </c>
    </row>
    <row r="86" spans="1:16" x14ac:dyDescent="0.3">
      <c r="A86">
        <v>838</v>
      </c>
      <c r="B86">
        <v>4322</v>
      </c>
      <c r="C86" t="s">
        <v>443</v>
      </c>
      <c r="D86" t="s">
        <v>423</v>
      </c>
      <c r="E86" t="s">
        <v>424</v>
      </c>
      <c r="F86">
        <v>593</v>
      </c>
      <c r="G86">
        <v>1036</v>
      </c>
      <c r="H86" t="s">
        <v>593</v>
      </c>
      <c r="I86" t="s">
        <v>594</v>
      </c>
      <c r="J86" t="s">
        <v>422</v>
      </c>
      <c r="K86" s="1">
        <v>34704</v>
      </c>
      <c r="L86" s="1">
        <v>34934</v>
      </c>
      <c r="M86">
        <v>0.57240000000000002</v>
      </c>
      <c r="N86" s="10">
        <f t="shared" si="3"/>
        <v>230</v>
      </c>
      <c r="O86" s="3" t="str">
        <f t="shared" si="4"/>
        <v>Delayed</v>
      </c>
      <c r="P86" s="3" t="str">
        <f t="shared" si="5"/>
        <v>January</v>
      </c>
    </row>
    <row r="87" spans="1:16" x14ac:dyDescent="0.3">
      <c r="A87">
        <v>215</v>
      </c>
      <c r="B87">
        <v>7773</v>
      </c>
      <c r="C87" t="s">
        <v>434</v>
      </c>
      <c r="D87" t="s">
        <v>418</v>
      </c>
      <c r="E87" t="s">
        <v>424</v>
      </c>
      <c r="F87">
        <v>812</v>
      </c>
      <c r="G87">
        <v>1161</v>
      </c>
      <c r="H87" t="s">
        <v>595</v>
      </c>
      <c r="I87" t="s">
        <v>596</v>
      </c>
      <c r="J87" t="s">
        <v>422</v>
      </c>
      <c r="K87" s="1">
        <v>31057</v>
      </c>
      <c r="L87" s="1">
        <v>31078</v>
      </c>
      <c r="M87">
        <v>0.69940000000000002</v>
      </c>
      <c r="N87" s="9">
        <f t="shared" si="3"/>
        <v>21</v>
      </c>
      <c r="O87" s="2" t="str">
        <f t="shared" si="4"/>
        <v>Normal</v>
      </c>
      <c r="P87" s="2" t="str">
        <f t="shared" si="5"/>
        <v>January</v>
      </c>
    </row>
    <row r="88" spans="1:16" x14ac:dyDescent="0.3">
      <c r="A88">
        <v>818</v>
      </c>
      <c r="B88">
        <v>6746</v>
      </c>
      <c r="C88" t="s">
        <v>446</v>
      </c>
      <c r="D88" t="s">
        <v>418</v>
      </c>
      <c r="E88" t="s">
        <v>424</v>
      </c>
      <c r="F88">
        <v>833</v>
      </c>
      <c r="G88">
        <v>1016</v>
      </c>
      <c r="H88" t="s">
        <v>597</v>
      </c>
      <c r="I88" t="s">
        <v>598</v>
      </c>
      <c r="J88" t="s">
        <v>422</v>
      </c>
      <c r="K88" s="1">
        <v>38957</v>
      </c>
      <c r="L88" s="1">
        <v>39010</v>
      </c>
      <c r="M88">
        <v>0.81989999999999996</v>
      </c>
      <c r="N88" s="10">
        <f t="shared" si="3"/>
        <v>53</v>
      </c>
      <c r="O88" s="3" t="str">
        <f t="shared" si="4"/>
        <v>Delayed</v>
      </c>
      <c r="P88" s="3" t="str">
        <f t="shared" si="5"/>
        <v>August</v>
      </c>
    </row>
    <row r="89" spans="1:16" x14ac:dyDescent="0.3">
      <c r="A89">
        <v>780</v>
      </c>
      <c r="B89">
        <v>6732</v>
      </c>
      <c r="C89" t="s">
        <v>417</v>
      </c>
      <c r="D89" t="s">
        <v>423</v>
      </c>
      <c r="E89" t="s">
        <v>424</v>
      </c>
      <c r="F89">
        <v>872</v>
      </c>
      <c r="G89">
        <v>1058</v>
      </c>
      <c r="H89" t="s">
        <v>599</v>
      </c>
      <c r="I89" t="s">
        <v>600</v>
      </c>
      <c r="J89" t="s">
        <v>422</v>
      </c>
      <c r="K89" s="1">
        <v>32793</v>
      </c>
      <c r="L89" s="1">
        <v>32798</v>
      </c>
      <c r="M89">
        <v>0.82420000000000004</v>
      </c>
      <c r="N89" s="9">
        <f t="shared" si="3"/>
        <v>5</v>
      </c>
      <c r="O89" s="2" t="str">
        <f t="shared" si="4"/>
        <v>Fast</v>
      </c>
      <c r="P89" s="2" t="str">
        <f t="shared" si="5"/>
        <v>October</v>
      </c>
    </row>
    <row r="90" spans="1:16" x14ac:dyDescent="0.3">
      <c r="A90">
        <v>40</v>
      </c>
      <c r="B90">
        <v>805</v>
      </c>
      <c r="C90" t="s">
        <v>474</v>
      </c>
      <c r="D90" t="s">
        <v>418</v>
      </c>
      <c r="E90" t="s">
        <v>419</v>
      </c>
      <c r="F90">
        <v>483</v>
      </c>
      <c r="G90">
        <v>648</v>
      </c>
      <c r="H90" t="s">
        <v>527</v>
      </c>
      <c r="I90" t="s">
        <v>601</v>
      </c>
      <c r="J90" t="s">
        <v>430</v>
      </c>
      <c r="K90" s="1">
        <v>29344</v>
      </c>
      <c r="M90">
        <v>0.74539999999999995</v>
      </c>
      <c r="N90" s="10" t="str">
        <f t="shared" si="3"/>
        <v/>
      </c>
      <c r="O90" s="3" t="str">
        <f t="shared" si="4"/>
        <v>Delayed</v>
      </c>
      <c r="P90" s="3" t="str">
        <f t="shared" si="5"/>
        <v>May</v>
      </c>
    </row>
    <row r="91" spans="1:16" x14ac:dyDescent="0.3">
      <c r="A91">
        <v>366</v>
      </c>
      <c r="B91">
        <v>7540</v>
      </c>
      <c r="C91" t="s">
        <v>440</v>
      </c>
      <c r="D91" t="s">
        <v>423</v>
      </c>
      <c r="E91" t="s">
        <v>419</v>
      </c>
      <c r="F91">
        <v>679</v>
      </c>
      <c r="G91">
        <v>1015</v>
      </c>
      <c r="H91" t="s">
        <v>602</v>
      </c>
      <c r="I91" t="s">
        <v>603</v>
      </c>
      <c r="J91" t="s">
        <v>422</v>
      </c>
      <c r="K91" s="1">
        <v>29281</v>
      </c>
      <c r="L91" s="1">
        <v>29296</v>
      </c>
      <c r="M91">
        <v>0.66900000000000004</v>
      </c>
      <c r="N91" s="9">
        <f t="shared" si="3"/>
        <v>15</v>
      </c>
      <c r="O91" s="2" t="str">
        <f t="shared" si="4"/>
        <v>Normal</v>
      </c>
      <c r="P91" s="2" t="str">
        <f t="shared" si="5"/>
        <v>March</v>
      </c>
    </row>
    <row r="92" spans="1:16" x14ac:dyDescent="0.3">
      <c r="A92">
        <v>678</v>
      </c>
      <c r="B92">
        <v>5269</v>
      </c>
      <c r="C92" t="s">
        <v>446</v>
      </c>
      <c r="D92" t="s">
        <v>423</v>
      </c>
      <c r="E92" t="s">
        <v>424</v>
      </c>
      <c r="F92">
        <v>318</v>
      </c>
      <c r="G92">
        <v>938</v>
      </c>
      <c r="H92" t="s">
        <v>604</v>
      </c>
      <c r="I92" t="s">
        <v>605</v>
      </c>
      <c r="J92" t="s">
        <v>430</v>
      </c>
      <c r="K92" s="1">
        <v>34349</v>
      </c>
      <c r="M92">
        <v>0.33900000000000002</v>
      </c>
      <c r="N92" s="10" t="str">
        <f t="shared" si="3"/>
        <v/>
      </c>
      <c r="O92" s="3" t="str">
        <f t="shared" si="4"/>
        <v>Delayed</v>
      </c>
      <c r="P92" s="3" t="str">
        <f t="shared" si="5"/>
        <v>January</v>
      </c>
    </row>
    <row r="93" spans="1:16" x14ac:dyDescent="0.3">
      <c r="A93">
        <v>703</v>
      </c>
      <c r="B93">
        <v>8404</v>
      </c>
      <c r="C93" t="s">
        <v>431</v>
      </c>
      <c r="D93" t="s">
        <v>418</v>
      </c>
      <c r="E93" t="s">
        <v>424</v>
      </c>
      <c r="F93">
        <v>329</v>
      </c>
      <c r="G93">
        <v>597</v>
      </c>
      <c r="H93" t="s">
        <v>606</v>
      </c>
      <c r="I93" t="s">
        <v>607</v>
      </c>
      <c r="J93" t="s">
        <v>430</v>
      </c>
      <c r="K93" s="1">
        <v>42760</v>
      </c>
      <c r="M93">
        <v>0.55110000000000003</v>
      </c>
      <c r="N93" s="9" t="str">
        <f t="shared" si="3"/>
        <v/>
      </c>
      <c r="O93" s="2" t="str">
        <f t="shared" si="4"/>
        <v>Delayed</v>
      </c>
      <c r="P93" s="2" t="str">
        <f t="shared" si="5"/>
        <v>January</v>
      </c>
    </row>
    <row r="94" spans="1:16" x14ac:dyDescent="0.3">
      <c r="A94">
        <v>180</v>
      </c>
      <c r="B94">
        <v>519</v>
      </c>
      <c r="C94" t="s">
        <v>427</v>
      </c>
      <c r="D94" t="s">
        <v>418</v>
      </c>
      <c r="E94" t="s">
        <v>419</v>
      </c>
      <c r="F94">
        <v>588</v>
      </c>
      <c r="G94">
        <v>1182</v>
      </c>
      <c r="H94" t="s">
        <v>608</v>
      </c>
      <c r="I94" t="s">
        <v>609</v>
      </c>
      <c r="J94" t="s">
        <v>430</v>
      </c>
      <c r="K94" s="1">
        <v>27485</v>
      </c>
      <c r="M94">
        <v>0.4975</v>
      </c>
      <c r="N94" s="10" t="str">
        <f t="shared" si="3"/>
        <v/>
      </c>
      <c r="O94" s="3" t="str">
        <f t="shared" si="4"/>
        <v>Delayed</v>
      </c>
      <c r="P94" s="3" t="str">
        <f t="shared" si="5"/>
        <v>April</v>
      </c>
    </row>
    <row r="95" spans="1:16" x14ac:dyDescent="0.3">
      <c r="A95">
        <v>214</v>
      </c>
      <c r="B95">
        <v>4060</v>
      </c>
      <c r="C95" t="s">
        <v>437</v>
      </c>
      <c r="D95" t="s">
        <v>423</v>
      </c>
      <c r="E95" t="s">
        <v>419</v>
      </c>
      <c r="F95">
        <v>442</v>
      </c>
      <c r="G95">
        <v>713</v>
      </c>
      <c r="H95" t="s">
        <v>610</v>
      </c>
      <c r="I95" t="s">
        <v>611</v>
      </c>
      <c r="J95" t="s">
        <v>422</v>
      </c>
      <c r="K95" s="1">
        <v>31842</v>
      </c>
      <c r="L95" s="1">
        <v>31998</v>
      </c>
      <c r="M95">
        <v>0.61990000000000001</v>
      </c>
      <c r="N95" s="9">
        <f t="shared" si="3"/>
        <v>156</v>
      </c>
      <c r="O95" s="2" t="str">
        <f t="shared" si="4"/>
        <v>Delayed</v>
      </c>
      <c r="P95" s="2" t="str">
        <f t="shared" si="5"/>
        <v>March</v>
      </c>
    </row>
    <row r="96" spans="1:16" x14ac:dyDescent="0.3">
      <c r="A96">
        <v>408</v>
      </c>
      <c r="B96">
        <v>8860</v>
      </c>
      <c r="C96" t="s">
        <v>446</v>
      </c>
      <c r="D96" t="s">
        <v>418</v>
      </c>
      <c r="E96" t="s">
        <v>424</v>
      </c>
      <c r="F96">
        <v>216</v>
      </c>
      <c r="G96">
        <v>939</v>
      </c>
      <c r="H96" t="s">
        <v>486</v>
      </c>
      <c r="I96" t="s">
        <v>612</v>
      </c>
      <c r="J96" t="s">
        <v>422</v>
      </c>
      <c r="K96" s="1">
        <v>32925</v>
      </c>
      <c r="L96" s="1">
        <v>33127</v>
      </c>
      <c r="M96">
        <v>0.23</v>
      </c>
      <c r="N96" s="10">
        <f t="shared" si="3"/>
        <v>202</v>
      </c>
      <c r="O96" s="3" t="str">
        <f t="shared" si="4"/>
        <v>Delayed</v>
      </c>
      <c r="P96" s="3" t="str">
        <f t="shared" si="5"/>
        <v>February</v>
      </c>
    </row>
    <row r="97" spans="1:16" x14ac:dyDescent="0.3">
      <c r="A97">
        <v>902</v>
      </c>
      <c r="B97">
        <v>7164</v>
      </c>
      <c r="C97" t="s">
        <v>463</v>
      </c>
      <c r="D97" t="s">
        <v>418</v>
      </c>
      <c r="E97" t="s">
        <v>424</v>
      </c>
      <c r="F97">
        <v>946</v>
      </c>
      <c r="G97">
        <v>1082</v>
      </c>
      <c r="H97" t="s">
        <v>613</v>
      </c>
      <c r="I97" t="s">
        <v>614</v>
      </c>
      <c r="J97" t="s">
        <v>422</v>
      </c>
      <c r="K97" s="1">
        <v>32514</v>
      </c>
      <c r="L97" s="1">
        <v>32768</v>
      </c>
      <c r="M97">
        <v>0.87429999999999997</v>
      </c>
      <c r="N97" s="9">
        <f t="shared" si="3"/>
        <v>254</v>
      </c>
      <c r="O97" s="2" t="str">
        <f t="shared" si="4"/>
        <v>Delayed</v>
      </c>
      <c r="P97" s="2" t="str">
        <f t="shared" si="5"/>
        <v>January</v>
      </c>
    </row>
    <row r="98" spans="1:16" x14ac:dyDescent="0.3">
      <c r="A98">
        <v>763</v>
      </c>
      <c r="B98">
        <v>9792</v>
      </c>
      <c r="C98" t="s">
        <v>427</v>
      </c>
      <c r="D98" t="s">
        <v>423</v>
      </c>
      <c r="E98" t="s">
        <v>424</v>
      </c>
      <c r="F98">
        <v>796</v>
      </c>
      <c r="G98">
        <v>1347</v>
      </c>
      <c r="H98" t="s">
        <v>468</v>
      </c>
      <c r="I98" t="s">
        <v>593</v>
      </c>
      <c r="J98" t="s">
        <v>422</v>
      </c>
      <c r="K98" s="1">
        <v>41819</v>
      </c>
      <c r="L98" s="1">
        <v>41891</v>
      </c>
      <c r="M98">
        <v>0.59089999999999998</v>
      </c>
      <c r="N98" s="10">
        <f t="shared" si="3"/>
        <v>72</v>
      </c>
      <c r="O98" s="3" t="str">
        <f t="shared" si="4"/>
        <v>Delayed</v>
      </c>
      <c r="P98" s="3" t="str">
        <f t="shared" si="5"/>
        <v>June</v>
      </c>
    </row>
    <row r="99" spans="1:16" x14ac:dyDescent="0.3">
      <c r="A99">
        <v>168</v>
      </c>
      <c r="B99">
        <v>9934</v>
      </c>
      <c r="C99" t="s">
        <v>474</v>
      </c>
      <c r="D99" t="s">
        <v>418</v>
      </c>
      <c r="E99" t="s">
        <v>419</v>
      </c>
      <c r="F99">
        <v>26</v>
      </c>
      <c r="G99">
        <v>47</v>
      </c>
      <c r="H99" t="s">
        <v>615</v>
      </c>
      <c r="I99" t="s">
        <v>616</v>
      </c>
      <c r="J99" t="s">
        <v>422</v>
      </c>
      <c r="K99" s="1">
        <v>35435</v>
      </c>
      <c r="L99" s="1">
        <v>35593</v>
      </c>
      <c r="M99">
        <v>0.55320000000000003</v>
      </c>
      <c r="N99" s="9">
        <f t="shared" si="3"/>
        <v>158</v>
      </c>
      <c r="O99" s="2" t="str">
        <f t="shared" si="4"/>
        <v>Delayed</v>
      </c>
      <c r="P99" s="2" t="str">
        <f t="shared" si="5"/>
        <v>January</v>
      </c>
    </row>
    <row r="100" spans="1:16" x14ac:dyDescent="0.3">
      <c r="A100">
        <v>723</v>
      </c>
      <c r="B100">
        <v>1980</v>
      </c>
      <c r="C100" t="s">
        <v>449</v>
      </c>
      <c r="D100" t="s">
        <v>418</v>
      </c>
      <c r="E100" t="s">
        <v>424</v>
      </c>
      <c r="F100">
        <v>490</v>
      </c>
      <c r="G100">
        <v>762</v>
      </c>
      <c r="H100" t="s">
        <v>617</v>
      </c>
      <c r="I100" t="s">
        <v>618</v>
      </c>
      <c r="J100" t="s">
        <v>430</v>
      </c>
      <c r="K100" s="1">
        <v>29790</v>
      </c>
      <c r="M100">
        <v>0.64300000000000002</v>
      </c>
      <c r="N100" s="10" t="str">
        <f t="shared" si="3"/>
        <v/>
      </c>
      <c r="O100" s="3" t="str">
        <f t="shared" si="4"/>
        <v>Delayed</v>
      </c>
      <c r="P100" s="3" t="str">
        <f t="shared" si="5"/>
        <v>July</v>
      </c>
    </row>
    <row r="101" spans="1:16" x14ac:dyDescent="0.3">
      <c r="A101">
        <v>438</v>
      </c>
      <c r="B101">
        <v>9251</v>
      </c>
      <c r="C101" t="s">
        <v>431</v>
      </c>
      <c r="D101" t="s">
        <v>418</v>
      </c>
      <c r="E101" t="s">
        <v>419</v>
      </c>
      <c r="F101">
        <v>430</v>
      </c>
      <c r="G101">
        <v>642</v>
      </c>
      <c r="H101" t="s">
        <v>619</v>
      </c>
      <c r="I101" t="s">
        <v>620</v>
      </c>
      <c r="J101" t="s">
        <v>422</v>
      </c>
      <c r="K101" s="1">
        <v>28210</v>
      </c>
      <c r="L101" s="1">
        <v>28214</v>
      </c>
      <c r="M101">
        <v>0.66979999999999995</v>
      </c>
      <c r="N101" s="9">
        <f t="shared" si="3"/>
        <v>4</v>
      </c>
      <c r="O101" s="2" t="str">
        <f t="shared" si="4"/>
        <v>Fast</v>
      </c>
      <c r="P101" s="2" t="str">
        <f t="shared" si="5"/>
        <v>March</v>
      </c>
    </row>
    <row r="102" spans="1:16" x14ac:dyDescent="0.3">
      <c r="A102">
        <v>162</v>
      </c>
      <c r="B102">
        <v>6717</v>
      </c>
      <c r="C102" t="s">
        <v>474</v>
      </c>
      <c r="D102" t="s">
        <v>418</v>
      </c>
      <c r="E102" t="s">
        <v>424</v>
      </c>
      <c r="F102">
        <v>209</v>
      </c>
      <c r="G102">
        <v>665</v>
      </c>
      <c r="H102" t="s">
        <v>621</v>
      </c>
      <c r="I102" t="s">
        <v>622</v>
      </c>
      <c r="J102" t="s">
        <v>422</v>
      </c>
      <c r="K102" s="1">
        <v>30112</v>
      </c>
      <c r="L102" s="1">
        <v>30253</v>
      </c>
      <c r="M102">
        <v>0.31430000000000002</v>
      </c>
      <c r="N102" s="10">
        <f t="shared" si="3"/>
        <v>141</v>
      </c>
      <c r="O102" s="3" t="str">
        <f t="shared" si="4"/>
        <v>Delayed</v>
      </c>
      <c r="P102" s="3" t="str">
        <f t="shared" si="5"/>
        <v>June</v>
      </c>
    </row>
    <row r="103" spans="1:16" x14ac:dyDescent="0.3">
      <c r="A103">
        <v>246</v>
      </c>
      <c r="B103">
        <v>3622</v>
      </c>
      <c r="C103" t="s">
        <v>449</v>
      </c>
      <c r="D103" t="s">
        <v>423</v>
      </c>
      <c r="E103" t="s">
        <v>424</v>
      </c>
      <c r="F103">
        <v>379</v>
      </c>
      <c r="G103">
        <v>963</v>
      </c>
      <c r="H103" t="s">
        <v>623</v>
      </c>
      <c r="I103" t="s">
        <v>624</v>
      </c>
      <c r="J103" t="s">
        <v>422</v>
      </c>
      <c r="K103" s="1">
        <v>43527</v>
      </c>
      <c r="L103" s="1">
        <v>43525</v>
      </c>
      <c r="M103">
        <v>0.39360000000000001</v>
      </c>
      <c r="N103" s="9">
        <f t="shared" si="3"/>
        <v>-2</v>
      </c>
      <c r="O103" s="2" t="str">
        <f t="shared" si="4"/>
        <v>Invalid</v>
      </c>
      <c r="P103" s="2" t="str">
        <f t="shared" si="5"/>
        <v>March</v>
      </c>
    </row>
    <row r="104" spans="1:16" x14ac:dyDescent="0.3">
      <c r="A104">
        <v>105</v>
      </c>
      <c r="B104">
        <v>8808</v>
      </c>
      <c r="C104" t="s">
        <v>443</v>
      </c>
      <c r="D104" t="s">
        <v>418</v>
      </c>
      <c r="E104" t="s">
        <v>419</v>
      </c>
      <c r="F104">
        <v>949</v>
      </c>
      <c r="G104">
        <v>1419</v>
      </c>
      <c r="H104" t="s">
        <v>625</v>
      </c>
      <c r="I104" t="s">
        <v>626</v>
      </c>
      <c r="J104" t="s">
        <v>430</v>
      </c>
      <c r="K104" s="1">
        <v>35669</v>
      </c>
      <c r="M104">
        <v>0.66879999999999995</v>
      </c>
      <c r="N104" s="10" t="str">
        <f t="shared" si="3"/>
        <v/>
      </c>
      <c r="O104" s="3" t="str">
        <f t="shared" si="4"/>
        <v>Delayed</v>
      </c>
      <c r="P104" s="3" t="str">
        <f t="shared" si="5"/>
        <v>August</v>
      </c>
    </row>
    <row r="105" spans="1:16" x14ac:dyDescent="0.3">
      <c r="A105">
        <v>308</v>
      </c>
      <c r="B105">
        <v>4920</v>
      </c>
      <c r="C105" t="s">
        <v>434</v>
      </c>
      <c r="D105" t="s">
        <v>418</v>
      </c>
      <c r="E105" t="s">
        <v>424</v>
      </c>
      <c r="F105">
        <v>438</v>
      </c>
      <c r="G105">
        <v>656</v>
      </c>
      <c r="H105" t="s">
        <v>627</v>
      </c>
      <c r="I105" t="s">
        <v>598</v>
      </c>
      <c r="J105" t="s">
        <v>430</v>
      </c>
      <c r="K105" s="1">
        <v>28883</v>
      </c>
      <c r="M105">
        <v>0.66769999999999996</v>
      </c>
      <c r="N105" s="9" t="str">
        <f t="shared" si="3"/>
        <v/>
      </c>
      <c r="O105" s="2" t="str">
        <f t="shared" si="4"/>
        <v>Delayed</v>
      </c>
      <c r="P105" s="2" t="str">
        <f t="shared" si="5"/>
        <v>January</v>
      </c>
    </row>
    <row r="106" spans="1:16" x14ac:dyDescent="0.3">
      <c r="A106">
        <v>172</v>
      </c>
      <c r="B106">
        <v>3140</v>
      </c>
      <c r="C106" t="s">
        <v>437</v>
      </c>
      <c r="D106" t="s">
        <v>423</v>
      </c>
      <c r="E106" t="s">
        <v>424</v>
      </c>
      <c r="F106">
        <v>726</v>
      </c>
      <c r="G106">
        <v>1381</v>
      </c>
      <c r="H106" t="s">
        <v>628</v>
      </c>
      <c r="I106" t="s">
        <v>629</v>
      </c>
      <c r="J106" t="s">
        <v>422</v>
      </c>
      <c r="K106" s="1">
        <v>38289</v>
      </c>
      <c r="L106" s="1">
        <v>38286</v>
      </c>
      <c r="M106">
        <v>0.52569999999999995</v>
      </c>
      <c r="N106" s="10">
        <f t="shared" si="3"/>
        <v>-3</v>
      </c>
      <c r="O106" s="3" t="str">
        <f t="shared" si="4"/>
        <v>Invalid</v>
      </c>
      <c r="P106" s="3" t="str">
        <f t="shared" si="5"/>
        <v>October</v>
      </c>
    </row>
    <row r="107" spans="1:16" x14ac:dyDescent="0.3">
      <c r="A107">
        <v>775</v>
      </c>
      <c r="B107">
        <v>8104</v>
      </c>
      <c r="C107" t="s">
        <v>431</v>
      </c>
      <c r="D107" t="s">
        <v>418</v>
      </c>
      <c r="E107" t="s">
        <v>424</v>
      </c>
      <c r="F107">
        <v>451</v>
      </c>
      <c r="G107">
        <v>713</v>
      </c>
      <c r="H107" t="s">
        <v>475</v>
      </c>
      <c r="I107" t="s">
        <v>630</v>
      </c>
      <c r="J107" t="s">
        <v>430</v>
      </c>
      <c r="K107" s="1">
        <v>38258</v>
      </c>
      <c r="M107">
        <v>0.63249999999999995</v>
      </c>
      <c r="N107" s="9" t="str">
        <f t="shared" si="3"/>
        <v/>
      </c>
      <c r="O107" s="2" t="str">
        <f t="shared" si="4"/>
        <v>Delayed</v>
      </c>
      <c r="P107" s="2" t="str">
        <f t="shared" si="5"/>
        <v>September</v>
      </c>
    </row>
    <row r="108" spans="1:16" x14ac:dyDescent="0.3">
      <c r="A108">
        <v>333</v>
      </c>
      <c r="B108">
        <v>2208</v>
      </c>
      <c r="C108" t="s">
        <v>427</v>
      </c>
      <c r="D108" t="s">
        <v>418</v>
      </c>
      <c r="E108" t="s">
        <v>419</v>
      </c>
      <c r="F108">
        <v>812</v>
      </c>
      <c r="G108">
        <v>1104</v>
      </c>
      <c r="H108" t="s">
        <v>631</v>
      </c>
      <c r="I108" t="s">
        <v>632</v>
      </c>
      <c r="J108" t="s">
        <v>422</v>
      </c>
      <c r="K108" s="1">
        <v>41286</v>
      </c>
      <c r="L108" s="1">
        <v>41497</v>
      </c>
      <c r="M108">
        <v>0.73550000000000004</v>
      </c>
      <c r="N108" s="10">
        <f t="shared" si="3"/>
        <v>211</v>
      </c>
      <c r="O108" s="3" t="str">
        <f t="shared" si="4"/>
        <v>Delayed</v>
      </c>
      <c r="P108" s="3" t="str">
        <f t="shared" si="5"/>
        <v>January</v>
      </c>
    </row>
    <row r="109" spans="1:16" x14ac:dyDescent="0.3">
      <c r="A109">
        <v>548</v>
      </c>
      <c r="B109">
        <v>7043</v>
      </c>
      <c r="C109" t="s">
        <v>417</v>
      </c>
      <c r="D109" t="s">
        <v>423</v>
      </c>
      <c r="E109" t="s">
        <v>419</v>
      </c>
      <c r="F109">
        <v>240</v>
      </c>
      <c r="G109">
        <v>571</v>
      </c>
      <c r="H109" t="s">
        <v>633</v>
      </c>
      <c r="I109" t="s">
        <v>634</v>
      </c>
      <c r="J109" t="s">
        <v>430</v>
      </c>
      <c r="K109" s="1">
        <v>41077</v>
      </c>
      <c r="M109">
        <v>0.42030000000000001</v>
      </c>
      <c r="N109" s="9" t="str">
        <f t="shared" si="3"/>
        <v/>
      </c>
      <c r="O109" s="2" t="str">
        <f t="shared" si="4"/>
        <v>Delayed</v>
      </c>
      <c r="P109" s="2" t="str">
        <f t="shared" si="5"/>
        <v>June</v>
      </c>
    </row>
    <row r="110" spans="1:16" x14ac:dyDescent="0.3">
      <c r="A110">
        <v>665</v>
      </c>
      <c r="B110">
        <v>7485</v>
      </c>
      <c r="C110" t="s">
        <v>474</v>
      </c>
      <c r="D110" t="s">
        <v>418</v>
      </c>
      <c r="E110" t="s">
        <v>419</v>
      </c>
      <c r="F110">
        <v>982</v>
      </c>
      <c r="G110">
        <v>1405</v>
      </c>
      <c r="H110" t="s">
        <v>635</v>
      </c>
      <c r="I110" t="s">
        <v>636</v>
      </c>
      <c r="J110" t="s">
        <v>422</v>
      </c>
      <c r="K110" s="1">
        <v>40190</v>
      </c>
      <c r="L110" s="1">
        <v>40295</v>
      </c>
      <c r="M110">
        <v>0.69889999999999997</v>
      </c>
      <c r="N110" s="10">
        <f t="shared" si="3"/>
        <v>105</v>
      </c>
      <c r="O110" s="3" t="str">
        <f t="shared" si="4"/>
        <v>Delayed</v>
      </c>
      <c r="P110" s="3" t="str">
        <f t="shared" si="5"/>
        <v>January</v>
      </c>
    </row>
    <row r="111" spans="1:16" x14ac:dyDescent="0.3">
      <c r="A111">
        <v>305</v>
      </c>
      <c r="B111">
        <v>1748</v>
      </c>
      <c r="C111" t="s">
        <v>449</v>
      </c>
      <c r="D111" t="s">
        <v>418</v>
      </c>
      <c r="E111" t="s">
        <v>424</v>
      </c>
      <c r="F111">
        <v>954</v>
      </c>
      <c r="G111">
        <v>1473</v>
      </c>
      <c r="H111" t="s">
        <v>637</v>
      </c>
      <c r="I111" t="s">
        <v>638</v>
      </c>
      <c r="J111" t="s">
        <v>422</v>
      </c>
      <c r="K111" s="1">
        <v>33827</v>
      </c>
      <c r="L111" s="1">
        <v>33909</v>
      </c>
      <c r="M111">
        <v>0.64770000000000005</v>
      </c>
      <c r="N111" s="9">
        <f t="shared" si="3"/>
        <v>82</v>
      </c>
      <c r="O111" s="2" t="str">
        <f t="shared" si="4"/>
        <v>Delayed</v>
      </c>
      <c r="P111" s="2" t="str">
        <f t="shared" si="5"/>
        <v>August</v>
      </c>
    </row>
    <row r="112" spans="1:16" x14ac:dyDescent="0.3">
      <c r="A112">
        <v>938</v>
      </c>
      <c r="B112">
        <v>9968</v>
      </c>
      <c r="C112" t="s">
        <v>446</v>
      </c>
      <c r="D112" t="s">
        <v>418</v>
      </c>
      <c r="E112" t="s">
        <v>419</v>
      </c>
      <c r="F112">
        <v>35</v>
      </c>
      <c r="G112">
        <v>20</v>
      </c>
      <c r="H112" t="s">
        <v>639</v>
      </c>
      <c r="I112" t="s">
        <v>640</v>
      </c>
      <c r="J112" t="s">
        <v>430</v>
      </c>
      <c r="K112" s="1">
        <v>43455</v>
      </c>
      <c r="M112">
        <v>1.75</v>
      </c>
      <c r="N112" s="10" t="str">
        <f t="shared" si="3"/>
        <v/>
      </c>
      <c r="O112" s="3" t="str">
        <f t="shared" si="4"/>
        <v>Delayed</v>
      </c>
      <c r="P112" s="3" t="str">
        <f t="shared" si="5"/>
        <v>December</v>
      </c>
    </row>
    <row r="113" spans="1:16" x14ac:dyDescent="0.3">
      <c r="A113">
        <v>714</v>
      </c>
      <c r="B113">
        <v>5330</v>
      </c>
      <c r="C113" t="s">
        <v>434</v>
      </c>
      <c r="D113" t="s">
        <v>418</v>
      </c>
      <c r="E113" t="s">
        <v>424</v>
      </c>
      <c r="F113">
        <v>148</v>
      </c>
      <c r="G113">
        <v>835</v>
      </c>
      <c r="H113" t="s">
        <v>641</v>
      </c>
      <c r="I113" t="s">
        <v>642</v>
      </c>
      <c r="J113" t="s">
        <v>422</v>
      </c>
      <c r="K113" s="1">
        <v>40655</v>
      </c>
      <c r="L113" s="1">
        <v>40702</v>
      </c>
      <c r="M113">
        <v>0.1772</v>
      </c>
      <c r="N113" s="9">
        <f t="shared" si="3"/>
        <v>47</v>
      </c>
      <c r="O113" s="2" t="str">
        <f t="shared" si="4"/>
        <v>Delayed</v>
      </c>
      <c r="P113" s="2" t="str">
        <f t="shared" si="5"/>
        <v>April</v>
      </c>
    </row>
    <row r="114" spans="1:16" x14ac:dyDescent="0.3">
      <c r="A114">
        <v>251</v>
      </c>
      <c r="B114">
        <v>2183</v>
      </c>
      <c r="C114" t="s">
        <v>437</v>
      </c>
      <c r="D114" t="s">
        <v>423</v>
      </c>
      <c r="E114" t="s">
        <v>419</v>
      </c>
      <c r="F114">
        <v>422</v>
      </c>
      <c r="G114">
        <v>651</v>
      </c>
      <c r="H114" t="s">
        <v>643</v>
      </c>
      <c r="I114" t="s">
        <v>644</v>
      </c>
      <c r="J114" t="s">
        <v>422</v>
      </c>
      <c r="K114" s="1">
        <v>37919</v>
      </c>
      <c r="L114" s="1">
        <v>37957</v>
      </c>
      <c r="M114">
        <v>0.6482</v>
      </c>
      <c r="N114" s="10">
        <f t="shared" si="3"/>
        <v>38</v>
      </c>
      <c r="O114" s="3" t="str">
        <f t="shared" si="4"/>
        <v>Delayed</v>
      </c>
      <c r="P114" s="3" t="str">
        <f t="shared" si="5"/>
        <v>October</v>
      </c>
    </row>
    <row r="115" spans="1:16" x14ac:dyDescent="0.3">
      <c r="A115">
        <v>330</v>
      </c>
      <c r="B115">
        <v>2182</v>
      </c>
      <c r="C115" t="s">
        <v>431</v>
      </c>
      <c r="D115" t="s">
        <v>418</v>
      </c>
      <c r="E115" t="s">
        <v>424</v>
      </c>
      <c r="F115">
        <v>275</v>
      </c>
      <c r="G115">
        <v>653</v>
      </c>
      <c r="H115" t="s">
        <v>645</v>
      </c>
      <c r="I115" t="s">
        <v>646</v>
      </c>
      <c r="J115" t="s">
        <v>430</v>
      </c>
      <c r="K115" s="1">
        <v>40947</v>
      </c>
      <c r="M115">
        <v>0.42109999999999997</v>
      </c>
      <c r="N115" s="9" t="str">
        <f t="shared" si="3"/>
        <v/>
      </c>
      <c r="O115" s="2" t="str">
        <f t="shared" si="4"/>
        <v>Delayed</v>
      </c>
      <c r="P115" s="2" t="str">
        <f t="shared" si="5"/>
        <v>February</v>
      </c>
    </row>
    <row r="116" spans="1:16" x14ac:dyDescent="0.3">
      <c r="A116">
        <v>69</v>
      </c>
      <c r="B116">
        <v>1087</v>
      </c>
      <c r="C116" t="s">
        <v>417</v>
      </c>
      <c r="D116" t="s">
        <v>418</v>
      </c>
      <c r="E116" t="s">
        <v>419</v>
      </c>
      <c r="F116">
        <v>367</v>
      </c>
      <c r="G116">
        <v>740</v>
      </c>
      <c r="H116" t="s">
        <v>647</v>
      </c>
      <c r="I116" t="s">
        <v>648</v>
      </c>
      <c r="J116" t="s">
        <v>422</v>
      </c>
      <c r="K116" s="1">
        <v>43173</v>
      </c>
      <c r="L116" s="1">
        <v>43342</v>
      </c>
      <c r="M116">
        <v>0.49590000000000001</v>
      </c>
      <c r="N116" s="10">
        <f t="shared" si="3"/>
        <v>169</v>
      </c>
      <c r="O116" s="3" t="str">
        <f t="shared" si="4"/>
        <v>Delayed</v>
      </c>
      <c r="P116" s="3" t="str">
        <f t="shared" si="5"/>
        <v>March</v>
      </c>
    </row>
    <row r="117" spans="1:16" x14ac:dyDescent="0.3">
      <c r="A117">
        <v>969</v>
      </c>
      <c r="B117">
        <v>4296</v>
      </c>
      <c r="C117" t="s">
        <v>443</v>
      </c>
      <c r="D117" t="s">
        <v>423</v>
      </c>
      <c r="E117" t="s">
        <v>424</v>
      </c>
      <c r="F117">
        <v>507</v>
      </c>
      <c r="G117">
        <v>1334</v>
      </c>
      <c r="H117" t="s">
        <v>649</v>
      </c>
      <c r="I117" t="s">
        <v>650</v>
      </c>
      <c r="J117" t="s">
        <v>422</v>
      </c>
      <c r="K117" s="1">
        <v>41352</v>
      </c>
      <c r="L117" s="1">
        <v>41342</v>
      </c>
      <c r="M117">
        <v>0.38009999999999999</v>
      </c>
      <c r="N117" s="9">
        <f t="shared" si="3"/>
        <v>-10</v>
      </c>
      <c r="O117" s="2" t="str">
        <f t="shared" si="4"/>
        <v>Invalid</v>
      </c>
      <c r="P117" s="2" t="str">
        <f t="shared" si="5"/>
        <v>March</v>
      </c>
    </row>
    <row r="118" spans="1:16" x14ac:dyDescent="0.3">
      <c r="A118">
        <v>974</v>
      </c>
      <c r="B118">
        <v>9784</v>
      </c>
      <c r="C118" t="s">
        <v>449</v>
      </c>
      <c r="D118" t="s">
        <v>423</v>
      </c>
      <c r="E118" t="s">
        <v>419</v>
      </c>
      <c r="F118">
        <v>442</v>
      </c>
      <c r="G118">
        <v>770</v>
      </c>
      <c r="H118" t="s">
        <v>515</v>
      </c>
      <c r="I118" t="s">
        <v>651</v>
      </c>
      <c r="J118" t="s">
        <v>422</v>
      </c>
      <c r="K118" s="1">
        <v>41387</v>
      </c>
      <c r="L118" s="1">
        <v>41446</v>
      </c>
      <c r="M118">
        <v>0.57399999999999995</v>
      </c>
      <c r="N118" s="10">
        <f t="shared" si="3"/>
        <v>59</v>
      </c>
      <c r="O118" s="3" t="str">
        <f t="shared" si="4"/>
        <v>Delayed</v>
      </c>
      <c r="P118" s="3" t="str">
        <f t="shared" si="5"/>
        <v>April</v>
      </c>
    </row>
    <row r="119" spans="1:16" x14ac:dyDescent="0.3">
      <c r="A119">
        <v>526</v>
      </c>
      <c r="B119">
        <v>6210</v>
      </c>
      <c r="C119" t="s">
        <v>474</v>
      </c>
      <c r="D119" t="s">
        <v>423</v>
      </c>
      <c r="E119" t="s">
        <v>419</v>
      </c>
      <c r="F119">
        <v>510</v>
      </c>
      <c r="G119">
        <v>1205</v>
      </c>
      <c r="H119" t="s">
        <v>652</v>
      </c>
      <c r="I119" t="s">
        <v>653</v>
      </c>
      <c r="J119" t="s">
        <v>422</v>
      </c>
      <c r="K119" s="1">
        <v>33279</v>
      </c>
      <c r="L119" s="1">
        <v>33422</v>
      </c>
      <c r="M119">
        <v>0.42320000000000002</v>
      </c>
      <c r="N119" s="9">
        <f t="shared" si="3"/>
        <v>143</v>
      </c>
      <c r="O119" s="2" t="str">
        <f t="shared" si="4"/>
        <v>Delayed</v>
      </c>
      <c r="P119" s="2" t="str">
        <f t="shared" si="5"/>
        <v>February</v>
      </c>
    </row>
    <row r="120" spans="1:16" x14ac:dyDescent="0.3">
      <c r="A120">
        <v>510</v>
      </c>
      <c r="B120">
        <v>5781</v>
      </c>
      <c r="C120" t="s">
        <v>440</v>
      </c>
      <c r="D120" t="s">
        <v>423</v>
      </c>
      <c r="E120" t="s">
        <v>419</v>
      </c>
      <c r="F120">
        <v>117</v>
      </c>
      <c r="G120">
        <v>716</v>
      </c>
      <c r="H120" t="s">
        <v>654</v>
      </c>
      <c r="I120" t="s">
        <v>655</v>
      </c>
      <c r="J120" t="s">
        <v>430</v>
      </c>
      <c r="K120" s="1">
        <v>28037</v>
      </c>
      <c r="M120">
        <v>0.16339999999999999</v>
      </c>
      <c r="N120" s="10" t="str">
        <f t="shared" si="3"/>
        <v/>
      </c>
      <c r="O120" s="3" t="str">
        <f t="shared" si="4"/>
        <v>Delayed</v>
      </c>
      <c r="P120" s="3" t="str">
        <f t="shared" si="5"/>
        <v>October</v>
      </c>
    </row>
    <row r="121" spans="1:16" x14ac:dyDescent="0.3">
      <c r="A121">
        <v>444</v>
      </c>
      <c r="B121">
        <v>8306</v>
      </c>
      <c r="C121" t="s">
        <v>463</v>
      </c>
      <c r="D121" t="s">
        <v>418</v>
      </c>
      <c r="E121" t="s">
        <v>424</v>
      </c>
      <c r="F121">
        <v>973</v>
      </c>
      <c r="G121">
        <v>1250</v>
      </c>
      <c r="H121" t="s">
        <v>656</v>
      </c>
      <c r="I121" t="s">
        <v>657</v>
      </c>
      <c r="J121" t="s">
        <v>430</v>
      </c>
      <c r="K121" s="1">
        <v>32075</v>
      </c>
      <c r="M121">
        <v>0.77839999999999998</v>
      </c>
      <c r="N121" s="9" t="str">
        <f t="shared" si="3"/>
        <v/>
      </c>
      <c r="O121" s="2" t="str">
        <f t="shared" si="4"/>
        <v>Delayed</v>
      </c>
      <c r="P121" s="2" t="str">
        <f t="shared" si="5"/>
        <v>October</v>
      </c>
    </row>
    <row r="122" spans="1:16" x14ac:dyDescent="0.3">
      <c r="A122">
        <v>503</v>
      </c>
      <c r="B122">
        <v>3270</v>
      </c>
      <c r="C122" t="s">
        <v>437</v>
      </c>
      <c r="D122" t="s">
        <v>418</v>
      </c>
      <c r="E122" t="s">
        <v>419</v>
      </c>
      <c r="F122">
        <v>243</v>
      </c>
      <c r="G122">
        <v>935</v>
      </c>
      <c r="H122" t="s">
        <v>658</v>
      </c>
      <c r="I122" t="s">
        <v>543</v>
      </c>
      <c r="J122" t="s">
        <v>422</v>
      </c>
      <c r="K122" s="1">
        <v>27114</v>
      </c>
      <c r="L122" s="1">
        <v>27174</v>
      </c>
      <c r="M122">
        <v>0.25990000000000002</v>
      </c>
      <c r="N122" s="10">
        <f t="shared" si="3"/>
        <v>60</v>
      </c>
      <c r="O122" s="3" t="str">
        <f t="shared" si="4"/>
        <v>Delayed</v>
      </c>
      <c r="P122" s="3" t="str">
        <f t="shared" si="5"/>
        <v>March</v>
      </c>
    </row>
    <row r="123" spans="1:16" x14ac:dyDescent="0.3">
      <c r="A123">
        <v>109</v>
      </c>
      <c r="B123">
        <v>6787</v>
      </c>
      <c r="C123" t="s">
        <v>427</v>
      </c>
      <c r="D123" t="s">
        <v>418</v>
      </c>
      <c r="E123" t="s">
        <v>424</v>
      </c>
      <c r="F123">
        <v>715</v>
      </c>
      <c r="G123">
        <v>1185</v>
      </c>
      <c r="H123" t="s">
        <v>647</v>
      </c>
      <c r="I123" t="s">
        <v>659</v>
      </c>
      <c r="J123" t="s">
        <v>430</v>
      </c>
      <c r="K123" s="1">
        <v>41777</v>
      </c>
      <c r="M123">
        <v>0.60340000000000005</v>
      </c>
      <c r="N123" s="9" t="str">
        <f t="shared" si="3"/>
        <v/>
      </c>
      <c r="O123" s="2" t="str">
        <f t="shared" si="4"/>
        <v>Delayed</v>
      </c>
      <c r="P123" s="2" t="str">
        <f t="shared" si="5"/>
        <v>May</v>
      </c>
    </row>
    <row r="124" spans="1:16" x14ac:dyDescent="0.3">
      <c r="A124">
        <v>823</v>
      </c>
      <c r="B124">
        <v>3733</v>
      </c>
      <c r="C124" t="s">
        <v>417</v>
      </c>
      <c r="D124" t="s">
        <v>418</v>
      </c>
      <c r="E124" t="s">
        <v>424</v>
      </c>
      <c r="F124">
        <v>571</v>
      </c>
      <c r="G124">
        <v>1031</v>
      </c>
      <c r="H124" t="s">
        <v>660</v>
      </c>
      <c r="I124" t="s">
        <v>661</v>
      </c>
      <c r="J124" t="s">
        <v>422</v>
      </c>
      <c r="K124" s="1">
        <v>27532</v>
      </c>
      <c r="L124" s="1">
        <v>27534</v>
      </c>
      <c r="M124">
        <v>0.55379999999999996</v>
      </c>
      <c r="N124" s="10">
        <f t="shared" si="3"/>
        <v>2</v>
      </c>
      <c r="O124" s="3" t="str">
        <f t="shared" si="4"/>
        <v>Fast</v>
      </c>
      <c r="P124" s="3" t="str">
        <f t="shared" si="5"/>
        <v>May</v>
      </c>
    </row>
    <row r="125" spans="1:16" x14ac:dyDescent="0.3">
      <c r="A125">
        <v>147</v>
      </c>
      <c r="B125">
        <v>207</v>
      </c>
      <c r="C125" t="s">
        <v>443</v>
      </c>
      <c r="D125" t="s">
        <v>418</v>
      </c>
      <c r="E125" t="s">
        <v>424</v>
      </c>
      <c r="F125">
        <v>369</v>
      </c>
      <c r="G125">
        <v>646</v>
      </c>
      <c r="H125" t="s">
        <v>662</v>
      </c>
      <c r="I125" t="s">
        <v>663</v>
      </c>
      <c r="J125" t="s">
        <v>422</v>
      </c>
      <c r="K125" s="1">
        <v>38431</v>
      </c>
      <c r="L125" s="1">
        <v>38610</v>
      </c>
      <c r="M125">
        <v>0.57120000000000004</v>
      </c>
      <c r="N125" s="9">
        <f t="shared" si="3"/>
        <v>179</v>
      </c>
      <c r="O125" s="2" t="str">
        <f t="shared" si="4"/>
        <v>Delayed</v>
      </c>
      <c r="P125" s="2" t="str">
        <f t="shared" si="5"/>
        <v>March</v>
      </c>
    </row>
    <row r="126" spans="1:16" x14ac:dyDescent="0.3">
      <c r="A126">
        <v>625</v>
      </c>
      <c r="B126">
        <v>3</v>
      </c>
      <c r="C126" t="s">
        <v>443</v>
      </c>
      <c r="D126" t="s">
        <v>423</v>
      </c>
      <c r="E126" t="s">
        <v>419</v>
      </c>
      <c r="F126">
        <v>318</v>
      </c>
      <c r="G126">
        <v>980</v>
      </c>
      <c r="H126" t="s">
        <v>664</v>
      </c>
      <c r="I126" t="s">
        <v>665</v>
      </c>
      <c r="J126" t="s">
        <v>430</v>
      </c>
      <c r="K126" s="1">
        <v>43376</v>
      </c>
      <c r="M126">
        <v>0.32450000000000001</v>
      </c>
      <c r="N126" s="10" t="str">
        <f t="shared" si="3"/>
        <v/>
      </c>
      <c r="O126" s="3" t="str">
        <f t="shared" si="4"/>
        <v>Delayed</v>
      </c>
      <c r="P126" s="3" t="str">
        <f t="shared" si="5"/>
        <v>October</v>
      </c>
    </row>
    <row r="127" spans="1:16" x14ac:dyDescent="0.3">
      <c r="A127">
        <v>695</v>
      </c>
      <c r="B127">
        <v>1896</v>
      </c>
      <c r="C127" t="s">
        <v>437</v>
      </c>
      <c r="D127" t="s">
        <v>418</v>
      </c>
      <c r="E127" t="s">
        <v>419</v>
      </c>
      <c r="F127">
        <v>266</v>
      </c>
      <c r="G127">
        <v>833</v>
      </c>
      <c r="H127" t="s">
        <v>647</v>
      </c>
      <c r="I127" t="s">
        <v>666</v>
      </c>
      <c r="J127" t="s">
        <v>430</v>
      </c>
      <c r="K127" s="1">
        <v>41542</v>
      </c>
      <c r="M127">
        <v>0.31929999999999997</v>
      </c>
      <c r="N127" s="9" t="str">
        <f t="shared" si="3"/>
        <v/>
      </c>
      <c r="O127" s="2" t="str">
        <f t="shared" si="4"/>
        <v>Delayed</v>
      </c>
      <c r="P127" s="2" t="str">
        <f t="shared" si="5"/>
        <v>September</v>
      </c>
    </row>
    <row r="128" spans="1:16" x14ac:dyDescent="0.3">
      <c r="A128">
        <v>983</v>
      </c>
      <c r="B128">
        <v>9631</v>
      </c>
      <c r="C128" t="s">
        <v>431</v>
      </c>
      <c r="D128" t="s">
        <v>423</v>
      </c>
      <c r="E128" t="s">
        <v>419</v>
      </c>
      <c r="F128">
        <v>60</v>
      </c>
      <c r="G128">
        <v>166</v>
      </c>
      <c r="H128" t="s">
        <v>667</v>
      </c>
      <c r="I128" t="s">
        <v>668</v>
      </c>
      <c r="J128" t="s">
        <v>430</v>
      </c>
      <c r="K128" s="1">
        <v>34159</v>
      </c>
      <c r="M128">
        <v>0.3614</v>
      </c>
      <c r="N128" s="10" t="str">
        <f t="shared" si="3"/>
        <v/>
      </c>
      <c r="O128" s="3" t="str">
        <f t="shared" si="4"/>
        <v>Delayed</v>
      </c>
      <c r="P128" s="3" t="str">
        <f t="shared" si="5"/>
        <v>July</v>
      </c>
    </row>
    <row r="129" spans="1:16" x14ac:dyDescent="0.3">
      <c r="A129">
        <v>82</v>
      </c>
      <c r="B129">
        <v>3132</v>
      </c>
      <c r="C129" t="s">
        <v>427</v>
      </c>
      <c r="D129" t="s">
        <v>423</v>
      </c>
      <c r="E129" t="s">
        <v>424</v>
      </c>
      <c r="F129">
        <v>121</v>
      </c>
      <c r="G129">
        <v>557</v>
      </c>
      <c r="H129" t="s">
        <v>669</v>
      </c>
      <c r="I129" t="s">
        <v>670</v>
      </c>
      <c r="J129" t="s">
        <v>430</v>
      </c>
      <c r="K129" s="1">
        <v>35579</v>
      </c>
      <c r="M129">
        <v>0.2172</v>
      </c>
      <c r="N129" s="9" t="str">
        <f t="shared" si="3"/>
        <v/>
      </c>
      <c r="O129" s="2" t="str">
        <f t="shared" si="4"/>
        <v>Delayed</v>
      </c>
      <c r="P129" s="2" t="str">
        <f t="shared" si="5"/>
        <v>May</v>
      </c>
    </row>
    <row r="130" spans="1:16" x14ac:dyDescent="0.3">
      <c r="A130">
        <v>397</v>
      </c>
      <c r="B130">
        <v>1202</v>
      </c>
      <c r="C130" t="s">
        <v>449</v>
      </c>
      <c r="D130" t="s">
        <v>423</v>
      </c>
      <c r="E130" t="s">
        <v>424</v>
      </c>
      <c r="F130">
        <v>876</v>
      </c>
      <c r="G130">
        <v>1045</v>
      </c>
      <c r="H130" t="s">
        <v>671</v>
      </c>
      <c r="I130" t="s">
        <v>672</v>
      </c>
      <c r="J130" t="s">
        <v>430</v>
      </c>
      <c r="K130" s="1">
        <v>38046</v>
      </c>
      <c r="M130">
        <v>0.83830000000000005</v>
      </c>
      <c r="N130" s="10" t="str">
        <f t="shared" si="3"/>
        <v/>
      </c>
      <c r="O130" s="3" t="str">
        <f t="shared" si="4"/>
        <v>Delayed</v>
      </c>
      <c r="P130" s="3" t="str">
        <f t="shared" si="5"/>
        <v>February</v>
      </c>
    </row>
    <row r="131" spans="1:16" x14ac:dyDescent="0.3">
      <c r="A131">
        <v>599</v>
      </c>
      <c r="B131">
        <v>8834</v>
      </c>
      <c r="C131" t="s">
        <v>443</v>
      </c>
      <c r="D131" t="s">
        <v>418</v>
      </c>
      <c r="E131" t="s">
        <v>419</v>
      </c>
      <c r="F131">
        <v>946</v>
      </c>
      <c r="G131">
        <v>1100</v>
      </c>
      <c r="H131" t="s">
        <v>673</v>
      </c>
      <c r="I131" t="s">
        <v>674</v>
      </c>
      <c r="J131" t="s">
        <v>430</v>
      </c>
      <c r="K131" s="1">
        <v>37134</v>
      </c>
      <c r="M131">
        <v>0.86</v>
      </c>
      <c r="N131" s="9" t="str">
        <f t="shared" ref="N131:N194" si="6">IF(OR(K131="",L131=""),"",L131-K131)</f>
        <v/>
      </c>
      <c r="O131" s="2" t="str">
        <f t="shared" ref="O131:O194" si="7">IF(N131&lt;0,"Invalid",IF(N131&lt;=7,"Fast",IF(N131&lt;=30,"Normal","Delayed")))</f>
        <v>Delayed</v>
      </c>
      <c r="P131" s="2" t="str">
        <f t="shared" ref="P131:P194" si="8">TEXT(K131,"mmmm")</f>
        <v>August</v>
      </c>
    </row>
    <row r="132" spans="1:16" x14ac:dyDescent="0.3">
      <c r="A132">
        <v>306</v>
      </c>
      <c r="B132">
        <v>1201</v>
      </c>
      <c r="C132" t="s">
        <v>446</v>
      </c>
      <c r="D132" t="s">
        <v>418</v>
      </c>
      <c r="E132" t="s">
        <v>419</v>
      </c>
      <c r="F132">
        <v>654</v>
      </c>
      <c r="G132">
        <v>1150</v>
      </c>
      <c r="H132" t="s">
        <v>675</v>
      </c>
      <c r="I132" t="s">
        <v>676</v>
      </c>
      <c r="J132" t="s">
        <v>422</v>
      </c>
      <c r="K132" s="1">
        <v>30344</v>
      </c>
      <c r="L132" s="1">
        <v>30519</v>
      </c>
      <c r="M132">
        <v>0.56869999999999998</v>
      </c>
      <c r="N132" s="10">
        <f t="shared" si="6"/>
        <v>175</v>
      </c>
      <c r="O132" s="3" t="str">
        <f t="shared" si="7"/>
        <v>Delayed</v>
      </c>
      <c r="P132" s="3" t="str">
        <f t="shared" si="8"/>
        <v>January</v>
      </c>
    </row>
    <row r="133" spans="1:16" x14ac:dyDescent="0.3">
      <c r="A133">
        <v>536</v>
      </c>
      <c r="B133">
        <v>2573</v>
      </c>
      <c r="C133" t="s">
        <v>463</v>
      </c>
      <c r="D133" t="s">
        <v>418</v>
      </c>
      <c r="E133" t="s">
        <v>424</v>
      </c>
      <c r="F133">
        <v>74</v>
      </c>
      <c r="G133">
        <v>281</v>
      </c>
      <c r="H133" t="s">
        <v>677</v>
      </c>
      <c r="I133" t="s">
        <v>678</v>
      </c>
      <c r="J133" t="s">
        <v>422</v>
      </c>
      <c r="K133" s="1">
        <v>42636</v>
      </c>
      <c r="L133" s="1">
        <v>42634</v>
      </c>
      <c r="M133">
        <v>0.26329999999999998</v>
      </c>
      <c r="N133" s="9">
        <f t="shared" si="6"/>
        <v>-2</v>
      </c>
      <c r="O133" s="2" t="str">
        <f t="shared" si="7"/>
        <v>Invalid</v>
      </c>
      <c r="P133" s="2" t="str">
        <f t="shared" si="8"/>
        <v>September</v>
      </c>
    </row>
    <row r="134" spans="1:16" x14ac:dyDescent="0.3">
      <c r="A134">
        <v>20</v>
      </c>
      <c r="B134">
        <v>6759</v>
      </c>
      <c r="C134" t="s">
        <v>463</v>
      </c>
      <c r="D134" t="s">
        <v>418</v>
      </c>
      <c r="E134" t="s">
        <v>419</v>
      </c>
      <c r="F134">
        <v>630</v>
      </c>
      <c r="G134">
        <v>1062</v>
      </c>
      <c r="H134" t="s">
        <v>679</v>
      </c>
      <c r="I134" t="s">
        <v>680</v>
      </c>
      <c r="J134" t="s">
        <v>430</v>
      </c>
      <c r="K134" s="1">
        <v>43007</v>
      </c>
      <c r="M134">
        <v>0.59319999999999995</v>
      </c>
      <c r="N134" s="10" t="str">
        <f t="shared" si="6"/>
        <v/>
      </c>
      <c r="O134" s="3" t="str">
        <f t="shared" si="7"/>
        <v>Delayed</v>
      </c>
      <c r="P134" s="3" t="str">
        <f t="shared" si="8"/>
        <v>September</v>
      </c>
    </row>
    <row r="135" spans="1:16" x14ac:dyDescent="0.3">
      <c r="A135">
        <v>515</v>
      </c>
      <c r="B135">
        <v>2601</v>
      </c>
      <c r="C135" t="s">
        <v>417</v>
      </c>
      <c r="D135" t="s">
        <v>418</v>
      </c>
      <c r="E135" t="s">
        <v>424</v>
      </c>
      <c r="F135">
        <v>782</v>
      </c>
      <c r="G135">
        <v>1425</v>
      </c>
      <c r="H135" t="s">
        <v>681</v>
      </c>
      <c r="I135" t="s">
        <v>682</v>
      </c>
      <c r="J135" t="s">
        <v>430</v>
      </c>
      <c r="K135" s="1">
        <v>35065</v>
      </c>
      <c r="M135">
        <v>0.54879999999999995</v>
      </c>
      <c r="N135" s="9" t="str">
        <f t="shared" si="6"/>
        <v/>
      </c>
      <c r="O135" s="2" t="str">
        <f t="shared" si="7"/>
        <v>Delayed</v>
      </c>
      <c r="P135" s="2" t="str">
        <f t="shared" si="8"/>
        <v>January</v>
      </c>
    </row>
    <row r="136" spans="1:16" x14ac:dyDescent="0.3">
      <c r="A136">
        <v>332</v>
      </c>
      <c r="B136">
        <v>2656</v>
      </c>
      <c r="C136" t="s">
        <v>427</v>
      </c>
      <c r="D136" t="s">
        <v>423</v>
      </c>
      <c r="E136" t="s">
        <v>419</v>
      </c>
      <c r="F136">
        <v>45</v>
      </c>
      <c r="G136">
        <v>39</v>
      </c>
      <c r="H136" t="s">
        <v>683</v>
      </c>
      <c r="I136" t="s">
        <v>684</v>
      </c>
      <c r="J136" t="s">
        <v>430</v>
      </c>
      <c r="K136" s="1">
        <v>39705</v>
      </c>
      <c r="M136">
        <v>1.1537999999999999</v>
      </c>
      <c r="N136" s="10" t="str">
        <f t="shared" si="6"/>
        <v/>
      </c>
      <c r="O136" s="3" t="str">
        <f t="shared" si="7"/>
        <v>Delayed</v>
      </c>
      <c r="P136" s="3" t="str">
        <f t="shared" si="8"/>
        <v>September</v>
      </c>
    </row>
    <row r="137" spans="1:16" x14ac:dyDescent="0.3">
      <c r="A137">
        <v>127</v>
      </c>
      <c r="B137">
        <v>9645</v>
      </c>
      <c r="C137" t="s">
        <v>427</v>
      </c>
      <c r="D137" t="s">
        <v>423</v>
      </c>
      <c r="E137" t="s">
        <v>424</v>
      </c>
      <c r="F137">
        <v>916</v>
      </c>
      <c r="G137">
        <v>1143</v>
      </c>
      <c r="H137" t="s">
        <v>685</v>
      </c>
      <c r="I137" t="s">
        <v>686</v>
      </c>
      <c r="J137" t="s">
        <v>422</v>
      </c>
      <c r="K137" s="1">
        <v>38725</v>
      </c>
      <c r="L137" s="1">
        <v>38726</v>
      </c>
      <c r="M137">
        <v>0.8014</v>
      </c>
      <c r="N137" s="9">
        <f t="shared" si="6"/>
        <v>1</v>
      </c>
      <c r="O137" s="2" t="str">
        <f t="shared" si="7"/>
        <v>Fast</v>
      </c>
      <c r="P137" s="2" t="str">
        <f t="shared" si="8"/>
        <v>January</v>
      </c>
    </row>
    <row r="138" spans="1:16" x14ac:dyDescent="0.3">
      <c r="A138">
        <v>958</v>
      </c>
      <c r="B138">
        <v>584</v>
      </c>
      <c r="C138" t="s">
        <v>446</v>
      </c>
      <c r="D138" t="s">
        <v>423</v>
      </c>
      <c r="E138" t="s">
        <v>424</v>
      </c>
      <c r="F138">
        <v>274</v>
      </c>
      <c r="G138">
        <v>669</v>
      </c>
      <c r="H138" t="s">
        <v>687</v>
      </c>
      <c r="I138" t="s">
        <v>688</v>
      </c>
      <c r="J138" t="s">
        <v>430</v>
      </c>
      <c r="K138" s="1">
        <v>42424</v>
      </c>
      <c r="M138">
        <v>0.40960000000000002</v>
      </c>
      <c r="N138" s="10" t="str">
        <f t="shared" si="6"/>
        <v/>
      </c>
      <c r="O138" s="3" t="str">
        <f t="shared" si="7"/>
        <v>Delayed</v>
      </c>
      <c r="P138" s="3" t="str">
        <f t="shared" si="8"/>
        <v>February</v>
      </c>
    </row>
    <row r="139" spans="1:16" x14ac:dyDescent="0.3">
      <c r="A139">
        <v>42</v>
      </c>
      <c r="B139">
        <v>2121</v>
      </c>
      <c r="C139" t="s">
        <v>474</v>
      </c>
      <c r="D139" t="s">
        <v>418</v>
      </c>
      <c r="E139" t="s">
        <v>419</v>
      </c>
      <c r="F139">
        <v>987</v>
      </c>
      <c r="G139">
        <v>1134</v>
      </c>
      <c r="H139" t="s">
        <v>689</v>
      </c>
      <c r="I139" t="s">
        <v>690</v>
      </c>
      <c r="J139" t="s">
        <v>422</v>
      </c>
      <c r="K139" s="1">
        <v>28875</v>
      </c>
      <c r="L139" s="1">
        <v>29110</v>
      </c>
      <c r="M139">
        <v>0.87039999999999995</v>
      </c>
      <c r="N139" s="9">
        <f t="shared" si="6"/>
        <v>235</v>
      </c>
      <c r="O139" s="2" t="str">
        <f t="shared" si="7"/>
        <v>Delayed</v>
      </c>
      <c r="P139" s="2" t="str">
        <f t="shared" si="8"/>
        <v>January</v>
      </c>
    </row>
    <row r="140" spans="1:16" x14ac:dyDescent="0.3">
      <c r="A140">
        <v>977</v>
      </c>
      <c r="B140">
        <v>2142</v>
      </c>
      <c r="C140" t="s">
        <v>474</v>
      </c>
      <c r="D140" t="s">
        <v>423</v>
      </c>
      <c r="E140" t="s">
        <v>419</v>
      </c>
      <c r="F140">
        <v>434</v>
      </c>
      <c r="G140">
        <v>558</v>
      </c>
      <c r="H140" t="s">
        <v>691</v>
      </c>
      <c r="I140" t="s">
        <v>469</v>
      </c>
      <c r="J140" t="s">
        <v>422</v>
      </c>
      <c r="K140" s="1">
        <v>37290</v>
      </c>
      <c r="L140" s="1">
        <v>37549</v>
      </c>
      <c r="M140">
        <v>0.77780000000000005</v>
      </c>
      <c r="N140" s="10">
        <f t="shared" si="6"/>
        <v>259</v>
      </c>
      <c r="O140" s="3" t="str">
        <f t="shared" si="7"/>
        <v>Delayed</v>
      </c>
      <c r="P140" s="3" t="str">
        <f t="shared" si="8"/>
        <v>February</v>
      </c>
    </row>
    <row r="141" spans="1:16" x14ac:dyDescent="0.3">
      <c r="A141">
        <v>460</v>
      </c>
      <c r="B141">
        <v>2396</v>
      </c>
      <c r="C141" t="s">
        <v>434</v>
      </c>
      <c r="D141" t="s">
        <v>423</v>
      </c>
      <c r="E141" t="s">
        <v>424</v>
      </c>
      <c r="F141">
        <v>897</v>
      </c>
      <c r="G141">
        <v>1313</v>
      </c>
      <c r="H141" t="s">
        <v>692</v>
      </c>
      <c r="I141" t="s">
        <v>545</v>
      </c>
      <c r="J141" t="s">
        <v>422</v>
      </c>
      <c r="K141" s="1">
        <v>38458</v>
      </c>
      <c r="L141" s="1">
        <v>38610</v>
      </c>
      <c r="M141">
        <v>0.68320000000000003</v>
      </c>
      <c r="N141" s="9">
        <f t="shared" si="6"/>
        <v>152</v>
      </c>
      <c r="O141" s="2" t="str">
        <f t="shared" si="7"/>
        <v>Delayed</v>
      </c>
      <c r="P141" s="2" t="str">
        <f t="shared" si="8"/>
        <v>April</v>
      </c>
    </row>
    <row r="142" spans="1:16" x14ac:dyDescent="0.3">
      <c r="A142">
        <v>659</v>
      </c>
      <c r="B142">
        <v>8747</v>
      </c>
      <c r="C142" t="s">
        <v>449</v>
      </c>
      <c r="D142" t="s">
        <v>423</v>
      </c>
      <c r="E142" t="s">
        <v>419</v>
      </c>
      <c r="F142">
        <v>442</v>
      </c>
      <c r="G142">
        <v>595</v>
      </c>
      <c r="H142" t="s">
        <v>693</v>
      </c>
      <c r="I142" t="s">
        <v>694</v>
      </c>
      <c r="J142" t="s">
        <v>422</v>
      </c>
      <c r="K142" s="1">
        <v>35847</v>
      </c>
      <c r="L142" s="1">
        <v>36049</v>
      </c>
      <c r="M142">
        <v>0.7429</v>
      </c>
      <c r="N142" s="10">
        <f t="shared" si="6"/>
        <v>202</v>
      </c>
      <c r="O142" s="3" t="str">
        <f t="shared" si="7"/>
        <v>Delayed</v>
      </c>
      <c r="P142" s="3" t="str">
        <f t="shared" si="8"/>
        <v>February</v>
      </c>
    </row>
    <row r="143" spans="1:16" x14ac:dyDescent="0.3">
      <c r="A143">
        <v>197</v>
      </c>
      <c r="B143">
        <v>4142</v>
      </c>
      <c r="C143" t="s">
        <v>437</v>
      </c>
      <c r="D143" t="s">
        <v>418</v>
      </c>
      <c r="E143" t="s">
        <v>424</v>
      </c>
      <c r="F143">
        <v>98</v>
      </c>
      <c r="G143">
        <v>360</v>
      </c>
      <c r="H143" t="s">
        <v>695</v>
      </c>
      <c r="I143" t="s">
        <v>696</v>
      </c>
      <c r="J143" t="s">
        <v>422</v>
      </c>
      <c r="K143" s="1">
        <v>32596</v>
      </c>
      <c r="L143" s="1">
        <v>32743</v>
      </c>
      <c r="M143">
        <v>0.2722</v>
      </c>
      <c r="N143" s="9">
        <f t="shared" si="6"/>
        <v>147</v>
      </c>
      <c r="O143" s="2" t="str">
        <f t="shared" si="7"/>
        <v>Delayed</v>
      </c>
      <c r="P143" s="2" t="str">
        <f t="shared" si="8"/>
        <v>March</v>
      </c>
    </row>
    <row r="144" spans="1:16" x14ac:dyDescent="0.3">
      <c r="A144">
        <v>540</v>
      </c>
      <c r="B144">
        <v>9770</v>
      </c>
      <c r="C144" t="s">
        <v>427</v>
      </c>
      <c r="D144" t="s">
        <v>423</v>
      </c>
      <c r="E144" t="s">
        <v>424</v>
      </c>
      <c r="F144">
        <v>431</v>
      </c>
      <c r="G144">
        <v>934</v>
      </c>
      <c r="H144" t="s">
        <v>697</v>
      </c>
      <c r="I144" t="s">
        <v>515</v>
      </c>
      <c r="J144" t="s">
        <v>422</v>
      </c>
      <c r="K144" s="1">
        <v>28236</v>
      </c>
      <c r="L144" s="1">
        <v>28437</v>
      </c>
      <c r="M144">
        <v>0.46150000000000002</v>
      </c>
      <c r="N144" s="10">
        <f t="shared" si="6"/>
        <v>201</v>
      </c>
      <c r="O144" s="3" t="str">
        <f t="shared" si="7"/>
        <v>Delayed</v>
      </c>
      <c r="P144" s="3" t="str">
        <f t="shared" si="8"/>
        <v>April</v>
      </c>
    </row>
    <row r="145" spans="1:16" x14ac:dyDescent="0.3">
      <c r="A145">
        <v>178</v>
      </c>
      <c r="B145">
        <v>2593</v>
      </c>
      <c r="C145" t="s">
        <v>463</v>
      </c>
      <c r="D145" t="s">
        <v>423</v>
      </c>
      <c r="E145" t="s">
        <v>424</v>
      </c>
      <c r="F145">
        <v>745</v>
      </c>
      <c r="G145">
        <v>1383</v>
      </c>
      <c r="H145" t="s">
        <v>698</v>
      </c>
      <c r="I145" t="s">
        <v>699</v>
      </c>
      <c r="J145" t="s">
        <v>422</v>
      </c>
      <c r="K145" s="1">
        <v>39814</v>
      </c>
      <c r="L145" s="1">
        <v>39839</v>
      </c>
      <c r="M145">
        <v>0.53869999999999996</v>
      </c>
      <c r="N145" s="9">
        <f t="shared" si="6"/>
        <v>25</v>
      </c>
      <c r="O145" s="2" t="str">
        <f t="shared" si="7"/>
        <v>Normal</v>
      </c>
      <c r="P145" s="2" t="str">
        <f t="shared" si="8"/>
        <v>January</v>
      </c>
    </row>
    <row r="146" spans="1:16" x14ac:dyDescent="0.3">
      <c r="A146">
        <v>202</v>
      </c>
      <c r="B146">
        <v>9807</v>
      </c>
      <c r="C146" t="s">
        <v>431</v>
      </c>
      <c r="D146" t="s">
        <v>423</v>
      </c>
      <c r="E146" t="s">
        <v>424</v>
      </c>
      <c r="F146">
        <v>871</v>
      </c>
      <c r="G146">
        <v>1274</v>
      </c>
      <c r="H146" t="s">
        <v>694</v>
      </c>
      <c r="I146" t="s">
        <v>486</v>
      </c>
      <c r="J146" t="s">
        <v>422</v>
      </c>
      <c r="K146" s="1">
        <v>36918</v>
      </c>
      <c r="L146" s="1">
        <v>37106</v>
      </c>
      <c r="M146">
        <v>0.68369999999999997</v>
      </c>
      <c r="N146" s="10">
        <f t="shared" si="6"/>
        <v>188</v>
      </c>
      <c r="O146" s="3" t="str">
        <f t="shared" si="7"/>
        <v>Delayed</v>
      </c>
      <c r="P146" s="3" t="str">
        <f t="shared" si="8"/>
        <v>January</v>
      </c>
    </row>
    <row r="147" spans="1:16" x14ac:dyDescent="0.3">
      <c r="A147">
        <v>632</v>
      </c>
      <c r="B147">
        <v>2525</v>
      </c>
      <c r="C147" t="s">
        <v>443</v>
      </c>
      <c r="D147" t="s">
        <v>418</v>
      </c>
      <c r="E147" t="s">
        <v>419</v>
      </c>
      <c r="F147">
        <v>67</v>
      </c>
      <c r="G147">
        <v>193</v>
      </c>
      <c r="H147" t="s">
        <v>700</v>
      </c>
      <c r="I147" t="s">
        <v>701</v>
      </c>
      <c r="J147" t="s">
        <v>422</v>
      </c>
      <c r="K147" s="1">
        <v>33842</v>
      </c>
      <c r="L147" s="1">
        <v>33963</v>
      </c>
      <c r="M147">
        <v>0.34720000000000001</v>
      </c>
      <c r="N147" s="9">
        <f t="shared" si="6"/>
        <v>121</v>
      </c>
      <c r="O147" s="2" t="str">
        <f t="shared" si="7"/>
        <v>Delayed</v>
      </c>
      <c r="P147" s="2" t="str">
        <f t="shared" si="8"/>
        <v>August</v>
      </c>
    </row>
    <row r="148" spans="1:16" x14ac:dyDescent="0.3">
      <c r="A148">
        <v>25</v>
      </c>
      <c r="B148">
        <v>1724</v>
      </c>
      <c r="C148" t="s">
        <v>431</v>
      </c>
      <c r="D148" t="s">
        <v>418</v>
      </c>
      <c r="E148" t="s">
        <v>424</v>
      </c>
      <c r="F148">
        <v>431</v>
      </c>
      <c r="G148">
        <v>702</v>
      </c>
      <c r="H148" t="s">
        <v>702</v>
      </c>
      <c r="I148" t="s">
        <v>703</v>
      </c>
      <c r="J148" t="s">
        <v>422</v>
      </c>
      <c r="K148" s="1">
        <v>38136</v>
      </c>
      <c r="L148" s="1">
        <v>38124</v>
      </c>
      <c r="M148">
        <v>0.61399999999999999</v>
      </c>
      <c r="N148" s="10">
        <f t="shared" si="6"/>
        <v>-12</v>
      </c>
      <c r="O148" s="3" t="str">
        <f t="shared" si="7"/>
        <v>Invalid</v>
      </c>
      <c r="P148" s="3" t="str">
        <f t="shared" si="8"/>
        <v>May</v>
      </c>
    </row>
    <row r="149" spans="1:16" x14ac:dyDescent="0.3">
      <c r="A149">
        <v>990</v>
      </c>
      <c r="B149">
        <v>7146</v>
      </c>
      <c r="C149" t="s">
        <v>463</v>
      </c>
      <c r="D149" t="s">
        <v>423</v>
      </c>
      <c r="E149" t="s">
        <v>419</v>
      </c>
      <c r="F149">
        <v>178</v>
      </c>
      <c r="G149">
        <v>646</v>
      </c>
      <c r="H149" t="s">
        <v>704</v>
      </c>
      <c r="I149" t="s">
        <v>705</v>
      </c>
      <c r="J149" t="s">
        <v>422</v>
      </c>
      <c r="K149" s="1">
        <v>37759</v>
      </c>
      <c r="L149" s="1">
        <v>37953</v>
      </c>
      <c r="M149">
        <v>0.27550000000000002</v>
      </c>
      <c r="N149" s="9">
        <f t="shared" si="6"/>
        <v>194</v>
      </c>
      <c r="O149" s="2" t="str">
        <f t="shared" si="7"/>
        <v>Delayed</v>
      </c>
      <c r="P149" s="2" t="str">
        <f t="shared" si="8"/>
        <v>May</v>
      </c>
    </row>
    <row r="150" spans="1:16" x14ac:dyDescent="0.3">
      <c r="A150">
        <v>913</v>
      </c>
      <c r="B150">
        <v>563</v>
      </c>
      <c r="C150" t="s">
        <v>431</v>
      </c>
      <c r="D150" t="s">
        <v>418</v>
      </c>
      <c r="E150" t="s">
        <v>424</v>
      </c>
      <c r="F150">
        <v>180</v>
      </c>
      <c r="G150">
        <v>755</v>
      </c>
      <c r="H150" t="s">
        <v>706</v>
      </c>
      <c r="I150" t="s">
        <v>707</v>
      </c>
      <c r="J150" t="s">
        <v>430</v>
      </c>
      <c r="K150" s="1">
        <v>27157</v>
      </c>
      <c r="M150">
        <v>0.2384</v>
      </c>
      <c r="N150" s="10" t="str">
        <f t="shared" si="6"/>
        <v/>
      </c>
      <c r="O150" s="3" t="str">
        <f t="shared" si="7"/>
        <v>Delayed</v>
      </c>
      <c r="P150" s="3" t="str">
        <f t="shared" si="8"/>
        <v>May</v>
      </c>
    </row>
    <row r="151" spans="1:16" x14ac:dyDescent="0.3">
      <c r="A151">
        <v>371</v>
      </c>
      <c r="B151">
        <v>7771</v>
      </c>
      <c r="C151" t="s">
        <v>474</v>
      </c>
      <c r="D151" t="s">
        <v>418</v>
      </c>
      <c r="E151" t="s">
        <v>424</v>
      </c>
      <c r="F151">
        <v>280</v>
      </c>
      <c r="G151">
        <v>990</v>
      </c>
      <c r="H151" t="s">
        <v>708</v>
      </c>
      <c r="I151" t="s">
        <v>709</v>
      </c>
      <c r="J151" t="s">
        <v>430</v>
      </c>
      <c r="K151" s="1">
        <v>27578</v>
      </c>
      <c r="M151">
        <v>0.2828</v>
      </c>
      <c r="N151" s="9" t="str">
        <f t="shared" si="6"/>
        <v/>
      </c>
      <c r="O151" s="2" t="str">
        <f t="shared" si="7"/>
        <v>Delayed</v>
      </c>
      <c r="P151" s="2" t="str">
        <f t="shared" si="8"/>
        <v>July</v>
      </c>
    </row>
    <row r="152" spans="1:16" x14ac:dyDescent="0.3">
      <c r="A152">
        <v>514</v>
      </c>
      <c r="B152">
        <v>4789</v>
      </c>
      <c r="C152" t="s">
        <v>446</v>
      </c>
      <c r="D152" t="s">
        <v>418</v>
      </c>
      <c r="E152" t="s">
        <v>424</v>
      </c>
      <c r="F152">
        <v>263</v>
      </c>
      <c r="G152">
        <v>965</v>
      </c>
      <c r="H152" t="s">
        <v>710</v>
      </c>
      <c r="I152" t="s">
        <v>711</v>
      </c>
      <c r="J152" t="s">
        <v>430</v>
      </c>
      <c r="K152" s="1">
        <v>30089</v>
      </c>
      <c r="M152">
        <v>0.27250000000000002</v>
      </c>
      <c r="N152" s="10" t="str">
        <f t="shared" si="6"/>
        <v/>
      </c>
      <c r="O152" s="3" t="str">
        <f t="shared" si="7"/>
        <v>Delayed</v>
      </c>
      <c r="P152" s="3" t="str">
        <f t="shared" si="8"/>
        <v>May</v>
      </c>
    </row>
    <row r="153" spans="1:16" x14ac:dyDescent="0.3">
      <c r="A153">
        <v>707</v>
      </c>
      <c r="B153">
        <v>3221</v>
      </c>
      <c r="C153" t="s">
        <v>449</v>
      </c>
      <c r="D153" t="s">
        <v>418</v>
      </c>
      <c r="E153" t="s">
        <v>419</v>
      </c>
      <c r="F153">
        <v>187</v>
      </c>
      <c r="G153">
        <v>931</v>
      </c>
      <c r="H153" t="s">
        <v>712</v>
      </c>
      <c r="I153" t="s">
        <v>713</v>
      </c>
      <c r="J153" t="s">
        <v>430</v>
      </c>
      <c r="K153" s="1">
        <v>39252</v>
      </c>
      <c r="M153">
        <v>0.2009</v>
      </c>
      <c r="N153" s="9" t="str">
        <f t="shared" si="6"/>
        <v/>
      </c>
      <c r="O153" s="2" t="str">
        <f t="shared" si="7"/>
        <v>Delayed</v>
      </c>
      <c r="P153" s="2" t="str">
        <f t="shared" si="8"/>
        <v>June</v>
      </c>
    </row>
    <row r="154" spans="1:16" x14ac:dyDescent="0.3">
      <c r="A154">
        <v>473</v>
      </c>
      <c r="B154">
        <v>5197</v>
      </c>
      <c r="C154" t="s">
        <v>474</v>
      </c>
      <c r="D154" t="s">
        <v>423</v>
      </c>
      <c r="E154" t="s">
        <v>419</v>
      </c>
      <c r="F154">
        <v>94</v>
      </c>
      <c r="G154">
        <v>361</v>
      </c>
      <c r="H154" t="s">
        <v>714</v>
      </c>
      <c r="I154" t="s">
        <v>715</v>
      </c>
      <c r="J154" t="s">
        <v>422</v>
      </c>
      <c r="K154" s="1">
        <v>40933</v>
      </c>
      <c r="L154" s="1">
        <v>40925</v>
      </c>
      <c r="M154">
        <v>0.26040000000000002</v>
      </c>
      <c r="N154" s="10">
        <f t="shared" si="6"/>
        <v>-8</v>
      </c>
      <c r="O154" s="3" t="str">
        <f t="shared" si="7"/>
        <v>Invalid</v>
      </c>
      <c r="P154" s="3" t="str">
        <f t="shared" si="8"/>
        <v>January</v>
      </c>
    </row>
    <row r="155" spans="1:16" x14ac:dyDescent="0.3">
      <c r="A155">
        <v>847</v>
      </c>
      <c r="B155">
        <v>8183</v>
      </c>
      <c r="C155" t="s">
        <v>440</v>
      </c>
      <c r="D155" t="s">
        <v>423</v>
      </c>
      <c r="E155" t="s">
        <v>424</v>
      </c>
      <c r="F155">
        <v>906</v>
      </c>
      <c r="G155">
        <v>1297</v>
      </c>
      <c r="H155" t="s">
        <v>716</v>
      </c>
      <c r="I155" t="s">
        <v>717</v>
      </c>
      <c r="J155" t="s">
        <v>430</v>
      </c>
      <c r="K155" s="1">
        <v>30423</v>
      </c>
      <c r="M155">
        <v>0.69850000000000001</v>
      </c>
      <c r="N155" s="9" t="str">
        <f t="shared" si="6"/>
        <v/>
      </c>
      <c r="O155" s="2" t="str">
        <f t="shared" si="7"/>
        <v>Delayed</v>
      </c>
      <c r="P155" s="2" t="str">
        <f t="shared" si="8"/>
        <v>April</v>
      </c>
    </row>
    <row r="156" spans="1:16" x14ac:dyDescent="0.3">
      <c r="A156">
        <v>815</v>
      </c>
      <c r="B156">
        <v>1126</v>
      </c>
      <c r="C156" t="s">
        <v>417</v>
      </c>
      <c r="D156" t="s">
        <v>423</v>
      </c>
      <c r="E156" t="s">
        <v>419</v>
      </c>
      <c r="F156">
        <v>71</v>
      </c>
      <c r="G156">
        <v>130</v>
      </c>
      <c r="H156" t="s">
        <v>718</v>
      </c>
      <c r="I156" t="s">
        <v>719</v>
      </c>
      <c r="J156" t="s">
        <v>422</v>
      </c>
      <c r="K156" s="1">
        <v>40208</v>
      </c>
      <c r="L156" s="1">
        <v>40239</v>
      </c>
      <c r="M156">
        <v>0.54620000000000002</v>
      </c>
      <c r="N156" s="10">
        <f t="shared" si="6"/>
        <v>31</v>
      </c>
      <c r="O156" s="3" t="str">
        <f t="shared" si="7"/>
        <v>Delayed</v>
      </c>
      <c r="P156" s="3" t="str">
        <f t="shared" si="8"/>
        <v>January</v>
      </c>
    </row>
    <row r="157" spans="1:16" x14ac:dyDescent="0.3">
      <c r="A157">
        <v>928</v>
      </c>
      <c r="B157">
        <v>4899</v>
      </c>
      <c r="C157" t="s">
        <v>446</v>
      </c>
      <c r="D157" t="s">
        <v>423</v>
      </c>
      <c r="E157" t="s">
        <v>424</v>
      </c>
      <c r="F157">
        <v>253</v>
      </c>
      <c r="G157">
        <v>904</v>
      </c>
      <c r="H157" t="s">
        <v>484</v>
      </c>
      <c r="I157" t="s">
        <v>484</v>
      </c>
      <c r="J157" t="s">
        <v>430</v>
      </c>
      <c r="K157" s="1">
        <v>26912</v>
      </c>
      <c r="M157">
        <v>0.27989999999999998</v>
      </c>
      <c r="N157" s="9" t="str">
        <f t="shared" si="6"/>
        <v/>
      </c>
      <c r="O157" s="2" t="str">
        <f t="shared" si="7"/>
        <v>Delayed</v>
      </c>
      <c r="P157" s="2" t="str">
        <f t="shared" si="8"/>
        <v>September</v>
      </c>
    </row>
    <row r="158" spans="1:16" x14ac:dyDescent="0.3">
      <c r="A158">
        <v>210</v>
      </c>
      <c r="B158">
        <v>4732</v>
      </c>
      <c r="C158" t="s">
        <v>431</v>
      </c>
      <c r="D158" t="s">
        <v>423</v>
      </c>
      <c r="E158" t="s">
        <v>424</v>
      </c>
      <c r="F158">
        <v>591</v>
      </c>
      <c r="G158">
        <v>1433</v>
      </c>
      <c r="H158" t="s">
        <v>720</v>
      </c>
      <c r="I158" t="s">
        <v>600</v>
      </c>
      <c r="J158" t="s">
        <v>430</v>
      </c>
      <c r="K158" s="1">
        <v>38648</v>
      </c>
      <c r="M158">
        <v>0.41239999999999999</v>
      </c>
      <c r="N158" s="10" t="str">
        <f t="shared" si="6"/>
        <v/>
      </c>
      <c r="O158" s="3" t="str">
        <f t="shared" si="7"/>
        <v>Delayed</v>
      </c>
      <c r="P158" s="3" t="str">
        <f t="shared" si="8"/>
        <v>October</v>
      </c>
    </row>
    <row r="159" spans="1:16" x14ac:dyDescent="0.3">
      <c r="A159">
        <v>793</v>
      </c>
      <c r="B159">
        <v>4103</v>
      </c>
      <c r="C159" t="s">
        <v>449</v>
      </c>
      <c r="D159" t="s">
        <v>418</v>
      </c>
      <c r="E159" t="s">
        <v>419</v>
      </c>
      <c r="F159">
        <v>399</v>
      </c>
      <c r="G159">
        <v>835</v>
      </c>
      <c r="H159" t="s">
        <v>673</v>
      </c>
      <c r="I159" t="s">
        <v>721</v>
      </c>
      <c r="J159" t="s">
        <v>430</v>
      </c>
      <c r="K159" s="1">
        <v>35252</v>
      </c>
      <c r="M159">
        <v>0.4778</v>
      </c>
      <c r="N159" s="9" t="str">
        <f t="shared" si="6"/>
        <v/>
      </c>
      <c r="O159" s="2" t="str">
        <f t="shared" si="7"/>
        <v>Delayed</v>
      </c>
      <c r="P159" s="2" t="str">
        <f t="shared" si="8"/>
        <v>July</v>
      </c>
    </row>
    <row r="160" spans="1:16" x14ac:dyDescent="0.3">
      <c r="A160">
        <v>872</v>
      </c>
      <c r="B160">
        <v>7861</v>
      </c>
      <c r="C160" t="s">
        <v>449</v>
      </c>
      <c r="D160" t="s">
        <v>423</v>
      </c>
      <c r="E160" t="s">
        <v>424</v>
      </c>
      <c r="F160">
        <v>91</v>
      </c>
      <c r="G160">
        <v>242</v>
      </c>
      <c r="H160" t="s">
        <v>722</v>
      </c>
      <c r="I160" t="s">
        <v>573</v>
      </c>
      <c r="J160" t="s">
        <v>422</v>
      </c>
      <c r="K160" s="1">
        <v>39589</v>
      </c>
      <c r="L160" s="1">
        <v>39585</v>
      </c>
      <c r="M160">
        <v>0.376</v>
      </c>
      <c r="N160" s="10">
        <f t="shared" si="6"/>
        <v>-4</v>
      </c>
      <c r="O160" s="3" t="str">
        <f t="shared" si="7"/>
        <v>Invalid</v>
      </c>
      <c r="P160" s="3" t="str">
        <f t="shared" si="8"/>
        <v>May</v>
      </c>
    </row>
    <row r="161" spans="1:16" x14ac:dyDescent="0.3">
      <c r="A161">
        <v>298</v>
      </c>
      <c r="B161">
        <v>7764</v>
      </c>
      <c r="C161" t="s">
        <v>446</v>
      </c>
      <c r="D161" t="s">
        <v>423</v>
      </c>
      <c r="E161" t="s">
        <v>419</v>
      </c>
      <c r="F161">
        <v>717</v>
      </c>
      <c r="G161">
        <v>1297</v>
      </c>
      <c r="H161" t="s">
        <v>723</v>
      </c>
      <c r="I161" t="s">
        <v>724</v>
      </c>
      <c r="J161" t="s">
        <v>430</v>
      </c>
      <c r="K161" s="1">
        <v>28988</v>
      </c>
      <c r="M161">
        <v>0.55279999999999996</v>
      </c>
      <c r="N161" s="9" t="str">
        <f t="shared" si="6"/>
        <v/>
      </c>
      <c r="O161" s="2" t="str">
        <f t="shared" si="7"/>
        <v>Delayed</v>
      </c>
      <c r="P161" s="2" t="str">
        <f t="shared" si="8"/>
        <v>May</v>
      </c>
    </row>
    <row r="162" spans="1:16" x14ac:dyDescent="0.3">
      <c r="A162">
        <v>941</v>
      </c>
      <c r="B162">
        <v>5345</v>
      </c>
      <c r="C162" t="s">
        <v>437</v>
      </c>
      <c r="D162" t="s">
        <v>423</v>
      </c>
      <c r="E162" t="s">
        <v>419</v>
      </c>
      <c r="F162">
        <v>735</v>
      </c>
      <c r="G162">
        <v>1181</v>
      </c>
      <c r="H162" t="s">
        <v>725</v>
      </c>
      <c r="I162" t="s">
        <v>726</v>
      </c>
      <c r="J162" t="s">
        <v>422</v>
      </c>
      <c r="K162" s="1">
        <v>40360</v>
      </c>
      <c r="L162" s="1">
        <v>40418</v>
      </c>
      <c r="M162">
        <v>0.62239999999999995</v>
      </c>
      <c r="N162" s="10">
        <f t="shared" si="6"/>
        <v>58</v>
      </c>
      <c r="O162" s="3" t="str">
        <f t="shared" si="7"/>
        <v>Delayed</v>
      </c>
      <c r="P162" s="3" t="str">
        <f t="shared" si="8"/>
        <v>July</v>
      </c>
    </row>
    <row r="163" spans="1:16" x14ac:dyDescent="0.3">
      <c r="A163">
        <v>731</v>
      </c>
      <c r="B163">
        <v>6191</v>
      </c>
      <c r="C163" t="s">
        <v>446</v>
      </c>
      <c r="D163" t="s">
        <v>418</v>
      </c>
      <c r="E163" t="s">
        <v>424</v>
      </c>
      <c r="F163">
        <v>970</v>
      </c>
      <c r="G163">
        <v>1242</v>
      </c>
      <c r="H163" t="s">
        <v>727</v>
      </c>
      <c r="I163" t="s">
        <v>728</v>
      </c>
      <c r="J163" t="s">
        <v>430</v>
      </c>
      <c r="K163" s="1">
        <v>30502</v>
      </c>
      <c r="M163">
        <v>0.78100000000000003</v>
      </c>
      <c r="N163" s="9" t="str">
        <f t="shared" si="6"/>
        <v/>
      </c>
      <c r="O163" s="2" t="str">
        <f t="shared" si="7"/>
        <v>Delayed</v>
      </c>
      <c r="P163" s="2" t="str">
        <f t="shared" si="8"/>
        <v>July</v>
      </c>
    </row>
    <row r="164" spans="1:16" x14ac:dyDescent="0.3">
      <c r="A164">
        <v>500</v>
      </c>
      <c r="B164">
        <v>310</v>
      </c>
      <c r="C164" t="s">
        <v>474</v>
      </c>
      <c r="D164" t="s">
        <v>418</v>
      </c>
      <c r="E164" t="s">
        <v>419</v>
      </c>
      <c r="F164">
        <v>80</v>
      </c>
      <c r="G164">
        <v>236</v>
      </c>
      <c r="H164" t="s">
        <v>729</v>
      </c>
      <c r="I164" t="s">
        <v>730</v>
      </c>
      <c r="J164" t="s">
        <v>430</v>
      </c>
      <c r="K164" s="1">
        <v>29407</v>
      </c>
      <c r="M164">
        <v>0.33900000000000002</v>
      </c>
      <c r="N164" s="10" t="str">
        <f t="shared" si="6"/>
        <v/>
      </c>
      <c r="O164" s="3" t="str">
        <f t="shared" si="7"/>
        <v>Delayed</v>
      </c>
      <c r="P164" s="3" t="str">
        <f t="shared" si="8"/>
        <v>July</v>
      </c>
    </row>
    <row r="165" spans="1:16" x14ac:dyDescent="0.3">
      <c r="A165">
        <v>142</v>
      </c>
      <c r="B165">
        <v>3095</v>
      </c>
      <c r="C165" t="s">
        <v>474</v>
      </c>
      <c r="D165" t="s">
        <v>418</v>
      </c>
      <c r="E165" t="s">
        <v>424</v>
      </c>
      <c r="F165">
        <v>550</v>
      </c>
      <c r="G165">
        <v>1171</v>
      </c>
      <c r="H165" t="s">
        <v>724</v>
      </c>
      <c r="I165" t="s">
        <v>731</v>
      </c>
      <c r="J165" t="s">
        <v>430</v>
      </c>
      <c r="K165" s="1">
        <v>30549</v>
      </c>
      <c r="M165">
        <v>0.46970000000000001</v>
      </c>
      <c r="N165" s="9" t="str">
        <f t="shared" si="6"/>
        <v/>
      </c>
      <c r="O165" s="2" t="str">
        <f t="shared" si="7"/>
        <v>Delayed</v>
      </c>
      <c r="P165" s="2" t="str">
        <f t="shared" si="8"/>
        <v>August</v>
      </c>
    </row>
    <row r="166" spans="1:16" x14ac:dyDescent="0.3">
      <c r="A166">
        <v>787</v>
      </c>
      <c r="B166">
        <v>2159</v>
      </c>
      <c r="C166" t="s">
        <v>474</v>
      </c>
      <c r="D166" t="s">
        <v>423</v>
      </c>
      <c r="E166" t="s">
        <v>424</v>
      </c>
      <c r="F166">
        <v>187</v>
      </c>
      <c r="G166">
        <v>864</v>
      </c>
      <c r="H166" t="s">
        <v>732</v>
      </c>
      <c r="I166" t="s">
        <v>667</v>
      </c>
      <c r="J166" t="s">
        <v>422</v>
      </c>
      <c r="K166" s="1">
        <v>40630</v>
      </c>
      <c r="L166" s="1">
        <v>40719</v>
      </c>
      <c r="M166">
        <v>0.21640000000000001</v>
      </c>
      <c r="N166" s="10">
        <f t="shared" si="6"/>
        <v>89</v>
      </c>
      <c r="O166" s="3" t="str">
        <f t="shared" si="7"/>
        <v>Delayed</v>
      </c>
      <c r="P166" s="3" t="str">
        <f t="shared" si="8"/>
        <v>March</v>
      </c>
    </row>
    <row r="167" spans="1:16" x14ac:dyDescent="0.3">
      <c r="A167">
        <v>749</v>
      </c>
      <c r="B167">
        <v>3569</v>
      </c>
      <c r="C167" t="s">
        <v>449</v>
      </c>
      <c r="D167" t="s">
        <v>423</v>
      </c>
      <c r="E167" t="s">
        <v>424</v>
      </c>
      <c r="F167">
        <v>262</v>
      </c>
      <c r="G167">
        <v>875</v>
      </c>
      <c r="H167" t="s">
        <v>733</v>
      </c>
      <c r="I167" t="s">
        <v>734</v>
      </c>
      <c r="J167" t="s">
        <v>422</v>
      </c>
      <c r="K167" s="1">
        <v>41759</v>
      </c>
      <c r="L167" s="1">
        <v>41822</v>
      </c>
      <c r="M167">
        <v>0.2994</v>
      </c>
      <c r="N167" s="9">
        <f t="shared" si="6"/>
        <v>63</v>
      </c>
      <c r="O167" s="2" t="str">
        <f t="shared" si="7"/>
        <v>Delayed</v>
      </c>
      <c r="P167" s="2" t="str">
        <f t="shared" si="8"/>
        <v>April</v>
      </c>
    </row>
    <row r="168" spans="1:16" x14ac:dyDescent="0.3">
      <c r="A168">
        <v>304</v>
      </c>
      <c r="B168">
        <v>5958</v>
      </c>
      <c r="C168" t="s">
        <v>437</v>
      </c>
      <c r="D168" t="s">
        <v>418</v>
      </c>
      <c r="E168" t="s">
        <v>419</v>
      </c>
      <c r="F168">
        <v>540</v>
      </c>
      <c r="G168">
        <v>1172</v>
      </c>
      <c r="H168" t="s">
        <v>735</v>
      </c>
      <c r="I168" t="s">
        <v>736</v>
      </c>
      <c r="J168" t="s">
        <v>422</v>
      </c>
      <c r="K168" s="1">
        <v>38066</v>
      </c>
      <c r="L168" s="1">
        <v>38255</v>
      </c>
      <c r="M168">
        <v>0.46079999999999999</v>
      </c>
      <c r="N168" s="10">
        <f t="shared" si="6"/>
        <v>189</v>
      </c>
      <c r="O168" s="3" t="str">
        <f t="shared" si="7"/>
        <v>Delayed</v>
      </c>
      <c r="P168" s="3" t="str">
        <f t="shared" si="8"/>
        <v>March</v>
      </c>
    </row>
    <row r="169" spans="1:16" x14ac:dyDescent="0.3">
      <c r="A169">
        <v>30</v>
      </c>
      <c r="B169">
        <v>1275</v>
      </c>
      <c r="C169" t="s">
        <v>440</v>
      </c>
      <c r="D169" t="s">
        <v>418</v>
      </c>
      <c r="E169" t="s">
        <v>419</v>
      </c>
      <c r="F169">
        <v>581</v>
      </c>
      <c r="G169">
        <v>1422</v>
      </c>
      <c r="H169" t="s">
        <v>737</v>
      </c>
      <c r="I169" t="s">
        <v>738</v>
      </c>
      <c r="J169" t="s">
        <v>422</v>
      </c>
      <c r="K169" s="1">
        <v>40228</v>
      </c>
      <c r="L169" s="1">
        <v>40246</v>
      </c>
      <c r="M169">
        <v>0.40860000000000002</v>
      </c>
      <c r="N169" s="9">
        <f t="shared" si="6"/>
        <v>18</v>
      </c>
      <c r="O169" s="2" t="str">
        <f t="shared" si="7"/>
        <v>Normal</v>
      </c>
      <c r="P169" s="2" t="str">
        <f t="shared" si="8"/>
        <v>February</v>
      </c>
    </row>
    <row r="170" spans="1:16" x14ac:dyDescent="0.3">
      <c r="A170">
        <v>477</v>
      </c>
      <c r="B170">
        <v>6357</v>
      </c>
      <c r="C170" t="s">
        <v>440</v>
      </c>
      <c r="D170" t="s">
        <v>423</v>
      </c>
      <c r="E170" t="s">
        <v>419</v>
      </c>
      <c r="F170">
        <v>840</v>
      </c>
      <c r="G170">
        <v>1061</v>
      </c>
      <c r="H170" t="s">
        <v>739</v>
      </c>
      <c r="I170" t="s">
        <v>740</v>
      </c>
      <c r="J170" t="s">
        <v>430</v>
      </c>
      <c r="K170" s="1">
        <v>31662</v>
      </c>
      <c r="M170">
        <v>0.79169999999999996</v>
      </c>
      <c r="N170" s="10" t="str">
        <f t="shared" si="6"/>
        <v/>
      </c>
      <c r="O170" s="3" t="str">
        <f t="shared" si="7"/>
        <v>Delayed</v>
      </c>
      <c r="P170" s="3" t="str">
        <f t="shared" si="8"/>
        <v>September</v>
      </c>
    </row>
    <row r="171" spans="1:16" x14ac:dyDescent="0.3">
      <c r="A171">
        <v>52</v>
      </c>
      <c r="B171">
        <v>4551</v>
      </c>
      <c r="C171" t="s">
        <v>446</v>
      </c>
      <c r="D171" t="s">
        <v>418</v>
      </c>
      <c r="E171" t="s">
        <v>424</v>
      </c>
      <c r="F171">
        <v>873</v>
      </c>
      <c r="G171">
        <v>1199</v>
      </c>
      <c r="H171" t="s">
        <v>741</v>
      </c>
      <c r="I171" t="s">
        <v>742</v>
      </c>
      <c r="J171" t="s">
        <v>430</v>
      </c>
      <c r="K171" s="1">
        <v>42510</v>
      </c>
      <c r="M171">
        <v>0.72809999999999997</v>
      </c>
      <c r="N171" s="9" t="str">
        <f t="shared" si="6"/>
        <v/>
      </c>
      <c r="O171" s="2" t="str">
        <f t="shared" si="7"/>
        <v>Delayed</v>
      </c>
      <c r="P171" s="2" t="str">
        <f t="shared" si="8"/>
        <v>May</v>
      </c>
    </row>
    <row r="172" spans="1:16" x14ac:dyDescent="0.3">
      <c r="A172">
        <v>73</v>
      </c>
      <c r="B172">
        <v>4252</v>
      </c>
      <c r="C172" t="s">
        <v>431</v>
      </c>
      <c r="D172" t="s">
        <v>418</v>
      </c>
      <c r="E172" t="s">
        <v>424</v>
      </c>
      <c r="F172">
        <v>315</v>
      </c>
      <c r="G172">
        <v>937</v>
      </c>
      <c r="H172" t="s">
        <v>454</v>
      </c>
      <c r="I172" t="s">
        <v>743</v>
      </c>
      <c r="J172" t="s">
        <v>430</v>
      </c>
      <c r="K172" s="1">
        <v>34034</v>
      </c>
      <c r="M172">
        <v>0.3362</v>
      </c>
      <c r="N172" s="10" t="str">
        <f t="shared" si="6"/>
        <v/>
      </c>
      <c r="O172" s="3" t="str">
        <f t="shared" si="7"/>
        <v>Delayed</v>
      </c>
      <c r="P172" s="3" t="str">
        <f t="shared" si="8"/>
        <v>March</v>
      </c>
    </row>
    <row r="173" spans="1:16" x14ac:dyDescent="0.3">
      <c r="A173">
        <v>691</v>
      </c>
      <c r="B173">
        <v>2096</v>
      </c>
      <c r="C173" t="s">
        <v>443</v>
      </c>
      <c r="D173" t="s">
        <v>418</v>
      </c>
      <c r="E173" t="s">
        <v>419</v>
      </c>
      <c r="F173">
        <v>955</v>
      </c>
      <c r="G173">
        <v>1369</v>
      </c>
      <c r="H173" t="s">
        <v>744</v>
      </c>
      <c r="I173" t="s">
        <v>745</v>
      </c>
      <c r="J173" t="s">
        <v>422</v>
      </c>
      <c r="K173" s="1">
        <v>41031</v>
      </c>
      <c r="L173" s="1">
        <v>41141</v>
      </c>
      <c r="M173">
        <v>0.6976</v>
      </c>
      <c r="N173" s="9">
        <f t="shared" si="6"/>
        <v>110</v>
      </c>
      <c r="O173" s="2" t="str">
        <f t="shared" si="7"/>
        <v>Delayed</v>
      </c>
      <c r="P173" s="2" t="str">
        <f t="shared" si="8"/>
        <v>May</v>
      </c>
    </row>
    <row r="174" spans="1:16" x14ac:dyDescent="0.3">
      <c r="A174">
        <v>786</v>
      </c>
      <c r="B174">
        <v>5209</v>
      </c>
      <c r="C174" t="s">
        <v>417</v>
      </c>
      <c r="D174" t="s">
        <v>423</v>
      </c>
      <c r="E174" t="s">
        <v>424</v>
      </c>
      <c r="F174">
        <v>372</v>
      </c>
      <c r="G174">
        <v>679</v>
      </c>
      <c r="H174" t="s">
        <v>746</v>
      </c>
      <c r="I174" t="s">
        <v>747</v>
      </c>
      <c r="J174" t="s">
        <v>422</v>
      </c>
      <c r="K174" s="1">
        <v>27917</v>
      </c>
      <c r="L174" s="1">
        <v>28003</v>
      </c>
      <c r="M174">
        <v>0.54790000000000005</v>
      </c>
      <c r="N174" s="10">
        <f t="shared" si="6"/>
        <v>86</v>
      </c>
      <c r="O174" s="3" t="str">
        <f t="shared" si="7"/>
        <v>Delayed</v>
      </c>
      <c r="P174" s="3" t="str">
        <f t="shared" si="8"/>
        <v>June</v>
      </c>
    </row>
    <row r="175" spans="1:16" x14ac:dyDescent="0.3">
      <c r="A175">
        <v>68</v>
      </c>
      <c r="B175">
        <v>9271</v>
      </c>
      <c r="C175" t="s">
        <v>474</v>
      </c>
      <c r="D175" t="s">
        <v>418</v>
      </c>
      <c r="E175" t="s">
        <v>424</v>
      </c>
      <c r="F175">
        <v>182</v>
      </c>
      <c r="G175">
        <v>726</v>
      </c>
      <c r="H175" t="s">
        <v>468</v>
      </c>
      <c r="I175" t="s">
        <v>748</v>
      </c>
      <c r="J175" t="s">
        <v>430</v>
      </c>
      <c r="K175" s="1">
        <v>38198</v>
      </c>
      <c r="M175">
        <v>0.25069999999999998</v>
      </c>
      <c r="N175" s="9" t="str">
        <f t="shared" si="6"/>
        <v/>
      </c>
      <c r="O175" s="2" t="str">
        <f t="shared" si="7"/>
        <v>Delayed</v>
      </c>
      <c r="P175" s="2" t="str">
        <f t="shared" si="8"/>
        <v>July</v>
      </c>
    </row>
    <row r="176" spans="1:16" x14ac:dyDescent="0.3">
      <c r="A176">
        <v>630</v>
      </c>
      <c r="B176">
        <v>6772</v>
      </c>
      <c r="C176" t="s">
        <v>446</v>
      </c>
      <c r="D176" t="s">
        <v>418</v>
      </c>
      <c r="E176" t="s">
        <v>419</v>
      </c>
      <c r="F176">
        <v>868</v>
      </c>
      <c r="G176">
        <v>1320</v>
      </c>
      <c r="H176" t="s">
        <v>749</v>
      </c>
      <c r="I176" t="s">
        <v>750</v>
      </c>
      <c r="J176" t="s">
        <v>422</v>
      </c>
      <c r="K176" s="1">
        <v>39867</v>
      </c>
      <c r="L176" s="1">
        <v>40085</v>
      </c>
      <c r="M176">
        <v>0.65759999999999996</v>
      </c>
      <c r="N176" s="10">
        <f t="shared" si="6"/>
        <v>218</v>
      </c>
      <c r="O176" s="3" t="str">
        <f t="shared" si="7"/>
        <v>Delayed</v>
      </c>
      <c r="P176" s="3" t="str">
        <f t="shared" si="8"/>
        <v>February</v>
      </c>
    </row>
    <row r="177" spans="1:16" x14ac:dyDescent="0.3">
      <c r="A177">
        <v>357</v>
      </c>
      <c r="B177">
        <v>4628</v>
      </c>
      <c r="C177" t="s">
        <v>417</v>
      </c>
      <c r="D177" t="s">
        <v>423</v>
      </c>
      <c r="E177" t="s">
        <v>424</v>
      </c>
      <c r="F177">
        <v>777</v>
      </c>
      <c r="G177">
        <v>1113</v>
      </c>
      <c r="H177" t="s">
        <v>751</v>
      </c>
      <c r="I177" t="s">
        <v>752</v>
      </c>
      <c r="J177" t="s">
        <v>430</v>
      </c>
      <c r="K177" s="1">
        <v>33157</v>
      </c>
      <c r="M177">
        <v>0.69810000000000005</v>
      </c>
      <c r="N177" s="9" t="str">
        <f t="shared" si="6"/>
        <v/>
      </c>
      <c r="O177" s="2" t="str">
        <f t="shared" si="7"/>
        <v>Delayed</v>
      </c>
      <c r="P177" s="2" t="str">
        <f t="shared" si="8"/>
        <v>October</v>
      </c>
    </row>
    <row r="178" spans="1:16" x14ac:dyDescent="0.3">
      <c r="A178">
        <v>455</v>
      </c>
      <c r="B178">
        <v>3853</v>
      </c>
      <c r="C178" t="s">
        <v>463</v>
      </c>
      <c r="D178" t="s">
        <v>423</v>
      </c>
      <c r="E178" t="s">
        <v>419</v>
      </c>
      <c r="F178">
        <v>172</v>
      </c>
      <c r="G178">
        <v>580</v>
      </c>
      <c r="H178" t="s">
        <v>753</v>
      </c>
      <c r="I178" t="s">
        <v>647</v>
      </c>
      <c r="J178" t="s">
        <v>430</v>
      </c>
      <c r="K178" s="1">
        <v>40824</v>
      </c>
      <c r="M178">
        <v>0.29659999999999997</v>
      </c>
      <c r="N178" s="10" t="str">
        <f t="shared" si="6"/>
        <v/>
      </c>
      <c r="O178" s="3" t="str">
        <f t="shared" si="7"/>
        <v>Delayed</v>
      </c>
      <c r="P178" s="3" t="str">
        <f t="shared" si="8"/>
        <v>October</v>
      </c>
    </row>
    <row r="179" spans="1:16" x14ac:dyDescent="0.3">
      <c r="A179">
        <v>947</v>
      </c>
      <c r="B179">
        <v>515</v>
      </c>
      <c r="C179" t="s">
        <v>440</v>
      </c>
      <c r="D179" t="s">
        <v>423</v>
      </c>
      <c r="E179" t="s">
        <v>424</v>
      </c>
      <c r="F179">
        <v>665</v>
      </c>
      <c r="G179">
        <v>1257</v>
      </c>
      <c r="H179" t="s">
        <v>754</v>
      </c>
      <c r="I179" t="s">
        <v>755</v>
      </c>
      <c r="J179" t="s">
        <v>422</v>
      </c>
      <c r="K179" s="1">
        <v>31792</v>
      </c>
      <c r="L179" s="1">
        <v>31897</v>
      </c>
      <c r="M179">
        <v>0.52900000000000003</v>
      </c>
      <c r="N179" s="9">
        <f t="shared" si="6"/>
        <v>105</v>
      </c>
      <c r="O179" s="2" t="str">
        <f t="shared" si="7"/>
        <v>Delayed</v>
      </c>
      <c r="P179" s="2" t="str">
        <f t="shared" si="8"/>
        <v>January</v>
      </c>
    </row>
    <row r="180" spans="1:16" x14ac:dyDescent="0.3">
      <c r="A180">
        <v>589</v>
      </c>
      <c r="B180">
        <v>7513</v>
      </c>
      <c r="C180" t="s">
        <v>474</v>
      </c>
      <c r="D180" t="s">
        <v>423</v>
      </c>
      <c r="E180" t="s">
        <v>424</v>
      </c>
      <c r="F180">
        <v>516</v>
      </c>
      <c r="G180">
        <v>1084</v>
      </c>
      <c r="H180" t="s">
        <v>756</v>
      </c>
      <c r="I180" t="s">
        <v>757</v>
      </c>
      <c r="J180" t="s">
        <v>430</v>
      </c>
      <c r="K180" s="1">
        <v>25970</v>
      </c>
      <c r="M180">
        <v>0.47599999999999998</v>
      </c>
      <c r="N180" s="10" t="str">
        <f t="shared" si="6"/>
        <v/>
      </c>
      <c r="O180" s="3" t="str">
        <f t="shared" si="7"/>
        <v>Delayed</v>
      </c>
      <c r="P180" s="3" t="str">
        <f t="shared" si="8"/>
        <v>February</v>
      </c>
    </row>
    <row r="181" spans="1:16" x14ac:dyDescent="0.3">
      <c r="A181">
        <v>863</v>
      </c>
      <c r="B181">
        <v>9030</v>
      </c>
      <c r="C181" t="s">
        <v>449</v>
      </c>
      <c r="D181" t="s">
        <v>423</v>
      </c>
      <c r="E181" t="s">
        <v>419</v>
      </c>
      <c r="F181">
        <v>412</v>
      </c>
      <c r="G181">
        <v>872</v>
      </c>
      <c r="H181" t="s">
        <v>758</v>
      </c>
      <c r="I181" t="s">
        <v>759</v>
      </c>
      <c r="J181" t="s">
        <v>430</v>
      </c>
      <c r="K181" s="1">
        <v>27457</v>
      </c>
      <c r="M181">
        <v>0.47249999999999998</v>
      </c>
      <c r="N181" s="9" t="str">
        <f t="shared" si="6"/>
        <v/>
      </c>
      <c r="O181" s="2" t="str">
        <f t="shared" si="7"/>
        <v>Delayed</v>
      </c>
      <c r="P181" s="2" t="str">
        <f t="shared" si="8"/>
        <v>March</v>
      </c>
    </row>
    <row r="182" spans="1:16" x14ac:dyDescent="0.3">
      <c r="A182">
        <v>668</v>
      </c>
      <c r="B182">
        <v>2378</v>
      </c>
      <c r="C182" t="s">
        <v>427</v>
      </c>
      <c r="D182" t="s">
        <v>418</v>
      </c>
      <c r="E182" t="s">
        <v>424</v>
      </c>
      <c r="F182">
        <v>938</v>
      </c>
      <c r="G182">
        <v>1067</v>
      </c>
      <c r="H182" t="s">
        <v>760</v>
      </c>
      <c r="I182" t="s">
        <v>706</v>
      </c>
      <c r="J182" t="s">
        <v>422</v>
      </c>
      <c r="K182" s="1">
        <v>26460</v>
      </c>
      <c r="L182" s="1">
        <v>26466</v>
      </c>
      <c r="M182">
        <v>0.87909999999999999</v>
      </c>
      <c r="N182" s="10">
        <f t="shared" si="6"/>
        <v>6</v>
      </c>
      <c r="O182" s="3" t="str">
        <f t="shared" si="7"/>
        <v>Fast</v>
      </c>
      <c r="P182" s="3" t="str">
        <f t="shared" si="8"/>
        <v>June</v>
      </c>
    </row>
    <row r="183" spans="1:16" x14ac:dyDescent="0.3">
      <c r="A183">
        <v>206</v>
      </c>
      <c r="B183">
        <v>5894</v>
      </c>
      <c r="C183" t="s">
        <v>427</v>
      </c>
      <c r="D183" t="s">
        <v>423</v>
      </c>
      <c r="E183" t="s">
        <v>424</v>
      </c>
      <c r="F183">
        <v>854</v>
      </c>
      <c r="G183">
        <v>1251</v>
      </c>
      <c r="H183" t="s">
        <v>761</v>
      </c>
      <c r="I183" t="s">
        <v>762</v>
      </c>
      <c r="J183" t="s">
        <v>430</v>
      </c>
      <c r="K183" s="1">
        <v>41085</v>
      </c>
      <c r="M183">
        <v>0.68269999999999997</v>
      </c>
      <c r="N183" s="9" t="str">
        <f t="shared" si="6"/>
        <v/>
      </c>
      <c r="O183" s="2" t="str">
        <f t="shared" si="7"/>
        <v>Delayed</v>
      </c>
      <c r="P183" s="2" t="str">
        <f t="shared" si="8"/>
        <v>June</v>
      </c>
    </row>
    <row r="184" spans="1:16" x14ac:dyDescent="0.3">
      <c r="A184">
        <v>835</v>
      </c>
      <c r="B184">
        <v>7587</v>
      </c>
      <c r="C184" t="s">
        <v>427</v>
      </c>
      <c r="D184" t="s">
        <v>423</v>
      </c>
      <c r="E184" t="s">
        <v>419</v>
      </c>
      <c r="F184">
        <v>638</v>
      </c>
      <c r="G184">
        <v>1314</v>
      </c>
      <c r="H184" t="s">
        <v>763</v>
      </c>
      <c r="I184" t="s">
        <v>527</v>
      </c>
      <c r="J184" t="s">
        <v>430</v>
      </c>
      <c r="K184" s="1">
        <v>28130</v>
      </c>
      <c r="M184">
        <v>0.48549999999999999</v>
      </c>
      <c r="N184" s="10" t="str">
        <f t="shared" si="6"/>
        <v/>
      </c>
      <c r="O184" s="3" t="str">
        <f t="shared" si="7"/>
        <v>Delayed</v>
      </c>
      <c r="P184" s="3" t="str">
        <f t="shared" si="8"/>
        <v>January</v>
      </c>
    </row>
    <row r="185" spans="1:16" x14ac:dyDescent="0.3">
      <c r="A185">
        <v>315</v>
      </c>
      <c r="B185">
        <v>1424</v>
      </c>
      <c r="C185" t="s">
        <v>437</v>
      </c>
      <c r="D185" t="s">
        <v>418</v>
      </c>
      <c r="E185" t="s">
        <v>424</v>
      </c>
      <c r="F185">
        <v>230</v>
      </c>
      <c r="G185">
        <v>638</v>
      </c>
      <c r="H185" t="s">
        <v>764</v>
      </c>
      <c r="I185" t="s">
        <v>765</v>
      </c>
      <c r="J185" t="s">
        <v>430</v>
      </c>
      <c r="K185" s="1">
        <v>35029</v>
      </c>
      <c r="M185">
        <v>0.36049999999999999</v>
      </c>
      <c r="N185" s="9" t="str">
        <f t="shared" si="6"/>
        <v/>
      </c>
      <c r="O185" s="2" t="str">
        <f t="shared" si="7"/>
        <v>Delayed</v>
      </c>
      <c r="P185" s="2" t="str">
        <f t="shared" si="8"/>
        <v>November</v>
      </c>
    </row>
    <row r="186" spans="1:16" x14ac:dyDescent="0.3">
      <c r="A186">
        <v>553</v>
      </c>
      <c r="B186">
        <v>5214</v>
      </c>
      <c r="C186" t="s">
        <v>474</v>
      </c>
      <c r="D186" t="s">
        <v>418</v>
      </c>
      <c r="E186" t="s">
        <v>419</v>
      </c>
      <c r="F186">
        <v>245</v>
      </c>
      <c r="G186">
        <v>611</v>
      </c>
      <c r="H186" t="s">
        <v>766</v>
      </c>
      <c r="I186" t="s">
        <v>767</v>
      </c>
      <c r="J186" t="s">
        <v>430</v>
      </c>
      <c r="K186" s="1">
        <v>34906</v>
      </c>
      <c r="M186">
        <v>0.40100000000000002</v>
      </c>
      <c r="N186" s="10" t="str">
        <f t="shared" si="6"/>
        <v/>
      </c>
      <c r="O186" s="3" t="str">
        <f t="shared" si="7"/>
        <v>Delayed</v>
      </c>
      <c r="P186" s="3" t="str">
        <f t="shared" si="8"/>
        <v>July</v>
      </c>
    </row>
    <row r="187" spans="1:16" x14ac:dyDescent="0.3">
      <c r="A187">
        <v>861</v>
      </c>
      <c r="B187">
        <v>8249</v>
      </c>
      <c r="C187" t="s">
        <v>427</v>
      </c>
      <c r="D187" t="s">
        <v>423</v>
      </c>
      <c r="E187" t="s">
        <v>419</v>
      </c>
      <c r="F187">
        <v>916</v>
      </c>
      <c r="G187">
        <v>1255</v>
      </c>
      <c r="H187" t="s">
        <v>768</v>
      </c>
      <c r="I187" t="s">
        <v>769</v>
      </c>
      <c r="J187" t="s">
        <v>422</v>
      </c>
      <c r="K187" s="1">
        <v>35104</v>
      </c>
      <c r="L187" s="1">
        <v>35321</v>
      </c>
      <c r="M187">
        <v>0.72989999999999999</v>
      </c>
      <c r="N187" s="9">
        <f t="shared" si="6"/>
        <v>217</v>
      </c>
      <c r="O187" s="2" t="str">
        <f t="shared" si="7"/>
        <v>Delayed</v>
      </c>
      <c r="P187" s="2" t="str">
        <f t="shared" si="8"/>
        <v>February</v>
      </c>
    </row>
    <row r="188" spans="1:16" x14ac:dyDescent="0.3">
      <c r="A188">
        <v>279</v>
      </c>
      <c r="B188">
        <v>3172</v>
      </c>
      <c r="C188" t="s">
        <v>463</v>
      </c>
      <c r="D188" t="s">
        <v>423</v>
      </c>
      <c r="E188" t="s">
        <v>419</v>
      </c>
      <c r="F188">
        <v>84</v>
      </c>
      <c r="G188">
        <v>464</v>
      </c>
      <c r="H188" t="s">
        <v>484</v>
      </c>
      <c r="I188" t="s">
        <v>770</v>
      </c>
      <c r="J188" t="s">
        <v>430</v>
      </c>
      <c r="K188" s="1">
        <v>42447</v>
      </c>
      <c r="M188">
        <v>0.18099999999999999</v>
      </c>
      <c r="N188" s="10" t="str">
        <f t="shared" si="6"/>
        <v/>
      </c>
      <c r="O188" s="3" t="str">
        <f t="shared" si="7"/>
        <v>Delayed</v>
      </c>
      <c r="P188" s="3" t="str">
        <f t="shared" si="8"/>
        <v>March</v>
      </c>
    </row>
    <row r="189" spans="1:16" x14ac:dyDescent="0.3">
      <c r="A189">
        <v>75</v>
      </c>
      <c r="B189">
        <v>5489</v>
      </c>
      <c r="C189" t="s">
        <v>440</v>
      </c>
      <c r="D189" t="s">
        <v>418</v>
      </c>
      <c r="E189" t="s">
        <v>419</v>
      </c>
      <c r="F189">
        <v>869</v>
      </c>
      <c r="G189">
        <v>1317</v>
      </c>
      <c r="H189" t="s">
        <v>677</v>
      </c>
      <c r="I189" t="s">
        <v>771</v>
      </c>
      <c r="J189" t="s">
        <v>422</v>
      </c>
      <c r="K189" s="1">
        <v>37404</v>
      </c>
      <c r="L189" s="1">
        <v>37507</v>
      </c>
      <c r="M189">
        <v>0.65980000000000005</v>
      </c>
      <c r="N189" s="9">
        <f t="shared" si="6"/>
        <v>103</v>
      </c>
      <c r="O189" s="2" t="str">
        <f t="shared" si="7"/>
        <v>Delayed</v>
      </c>
      <c r="P189" s="2" t="str">
        <f t="shared" si="8"/>
        <v>May</v>
      </c>
    </row>
    <row r="190" spans="1:16" x14ac:dyDescent="0.3">
      <c r="A190">
        <v>895</v>
      </c>
      <c r="B190">
        <v>2037</v>
      </c>
      <c r="C190" t="s">
        <v>474</v>
      </c>
      <c r="D190" t="s">
        <v>423</v>
      </c>
      <c r="E190" t="s">
        <v>424</v>
      </c>
      <c r="F190">
        <v>271</v>
      </c>
      <c r="G190">
        <v>704</v>
      </c>
      <c r="H190" t="s">
        <v>772</v>
      </c>
      <c r="I190" t="s">
        <v>773</v>
      </c>
      <c r="J190" t="s">
        <v>430</v>
      </c>
      <c r="K190" s="1">
        <v>40252</v>
      </c>
      <c r="M190">
        <v>0.38490000000000002</v>
      </c>
      <c r="N190" s="10" t="str">
        <f t="shared" si="6"/>
        <v/>
      </c>
      <c r="O190" s="3" t="str">
        <f t="shared" si="7"/>
        <v>Delayed</v>
      </c>
      <c r="P190" s="3" t="str">
        <f t="shared" si="8"/>
        <v>March</v>
      </c>
    </row>
    <row r="191" spans="1:16" x14ac:dyDescent="0.3">
      <c r="A191">
        <v>866</v>
      </c>
      <c r="B191">
        <v>2401</v>
      </c>
      <c r="C191" t="s">
        <v>427</v>
      </c>
      <c r="D191" t="s">
        <v>423</v>
      </c>
      <c r="E191" t="s">
        <v>419</v>
      </c>
      <c r="F191">
        <v>691</v>
      </c>
      <c r="G191">
        <v>1260</v>
      </c>
      <c r="H191" t="s">
        <v>774</v>
      </c>
      <c r="I191" t="s">
        <v>775</v>
      </c>
      <c r="J191" t="s">
        <v>422</v>
      </c>
      <c r="K191" s="1">
        <v>34721</v>
      </c>
      <c r="L191" s="1">
        <v>34700</v>
      </c>
      <c r="M191">
        <v>0.5484</v>
      </c>
      <c r="N191" s="9">
        <f t="shared" si="6"/>
        <v>-21</v>
      </c>
      <c r="O191" s="2" t="str">
        <f t="shared" si="7"/>
        <v>Invalid</v>
      </c>
      <c r="P191" s="2" t="str">
        <f t="shared" si="8"/>
        <v>January</v>
      </c>
    </row>
    <row r="192" spans="1:16" x14ac:dyDescent="0.3">
      <c r="A192">
        <v>792</v>
      </c>
      <c r="B192">
        <v>1303</v>
      </c>
      <c r="C192" t="s">
        <v>474</v>
      </c>
      <c r="D192" t="s">
        <v>418</v>
      </c>
      <c r="E192" t="s">
        <v>419</v>
      </c>
      <c r="F192">
        <v>808</v>
      </c>
      <c r="G192">
        <v>1257</v>
      </c>
      <c r="H192" t="s">
        <v>776</v>
      </c>
      <c r="I192" t="s">
        <v>777</v>
      </c>
      <c r="J192" t="s">
        <v>430</v>
      </c>
      <c r="K192" s="1">
        <v>39715</v>
      </c>
      <c r="M192">
        <v>0.64280000000000004</v>
      </c>
      <c r="N192" s="10" t="str">
        <f t="shared" si="6"/>
        <v/>
      </c>
      <c r="O192" s="3" t="str">
        <f t="shared" si="7"/>
        <v>Delayed</v>
      </c>
      <c r="P192" s="3" t="str">
        <f t="shared" si="8"/>
        <v>September</v>
      </c>
    </row>
    <row r="193" spans="1:16" x14ac:dyDescent="0.3">
      <c r="A193">
        <v>191</v>
      </c>
      <c r="B193">
        <v>6798</v>
      </c>
      <c r="C193" t="s">
        <v>431</v>
      </c>
      <c r="D193" t="s">
        <v>423</v>
      </c>
      <c r="E193" t="s">
        <v>424</v>
      </c>
      <c r="F193">
        <v>997</v>
      </c>
      <c r="G193">
        <v>1382</v>
      </c>
      <c r="H193" t="s">
        <v>778</v>
      </c>
      <c r="I193" t="s">
        <v>779</v>
      </c>
      <c r="J193" t="s">
        <v>422</v>
      </c>
      <c r="K193" s="1">
        <v>32511</v>
      </c>
      <c r="L193" s="1">
        <v>32798</v>
      </c>
      <c r="M193">
        <v>0.72140000000000004</v>
      </c>
      <c r="N193" s="9">
        <f t="shared" si="6"/>
        <v>287</v>
      </c>
      <c r="O193" s="2" t="str">
        <f t="shared" si="7"/>
        <v>Delayed</v>
      </c>
      <c r="P193" s="2" t="str">
        <f t="shared" si="8"/>
        <v>January</v>
      </c>
    </row>
    <row r="194" spans="1:16" x14ac:dyDescent="0.3">
      <c r="A194">
        <v>59</v>
      </c>
      <c r="B194">
        <v>9917</v>
      </c>
      <c r="C194" t="s">
        <v>463</v>
      </c>
      <c r="D194" t="s">
        <v>423</v>
      </c>
      <c r="E194" t="s">
        <v>419</v>
      </c>
      <c r="F194">
        <v>329</v>
      </c>
      <c r="G194">
        <v>977</v>
      </c>
      <c r="H194" t="s">
        <v>780</v>
      </c>
      <c r="I194" t="s">
        <v>781</v>
      </c>
      <c r="J194" t="s">
        <v>430</v>
      </c>
      <c r="K194" s="1">
        <v>30774</v>
      </c>
      <c r="M194">
        <v>0.3367</v>
      </c>
      <c r="N194" s="10" t="str">
        <f t="shared" si="6"/>
        <v/>
      </c>
      <c r="O194" s="3" t="str">
        <f t="shared" si="7"/>
        <v>Delayed</v>
      </c>
      <c r="P194" s="3" t="str">
        <f t="shared" si="8"/>
        <v>April</v>
      </c>
    </row>
    <row r="195" spans="1:16" x14ac:dyDescent="0.3">
      <c r="A195">
        <v>748</v>
      </c>
      <c r="B195">
        <v>2969</v>
      </c>
      <c r="C195" t="s">
        <v>431</v>
      </c>
      <c r="D195" t="s">
        <v>418</v>
      </c>
      <c r="E195" t="s">
        <v>419</v>
      </c>
      <c r="F195">
        <v>600</v>
      </c>
      <c r="G195">
        <v>1048</v>
      </c>
      <c r="H195" t="s">
        <v>782</v>
      </c>
      <c r="I195" t="s">
        <v>783</v>
      </c>
      <c r="J195" t="s">
        <v>430</v>
      </c>
      <c r="K195" s="1">
        <v>31904</v>
      </c>
      <c r="M195">
        <v>0.57250000000000001</v>
      </c>
      <c r="N195" s="9" t="str">
        <f t="shared" ref="N195:N201" si="9">IF(OR(K195="",L195=""),"",L195-K195)</f>
        <v/>
      </c>
      <c r="O195" s="2" t="str">
        <f t="shared" ref="O195:O201" si="10">IF(N195&lt;0,"Invalid",IF(N195&lt;=7,"Fast",IF(N195&lt;=30,"Normal","Delayed")))</f>
        <v>Delayed</v>
      </c>
      <c r="P195" s="2" t="str">
        <f t="shared" ref="P195:P201" si="11">TEXT(K195,"mmmm")</f>
        <v>May</v>
      </c>
    </row>
    <row r="196" spans="1:16" x14ac:dyDescent="0.3">
      <c r="A196">
        <v>693</v>
      </c>
      <c r="B196">
        <v>8737</v>
      </c>
      <c r="C196" t="s">
        <v>431</v>
      </c>
      <c r="D196" t="s">
        <v>423</v>
      </c>
      <c r="E196" t="s">
        <v>424</v>
      </c>
      <c r="F196">
        <v>715</v>
      </c>
      <c r="G196">
        <v>1271</v>
      </c>
      <c r="H196" t="s">
        <v>734</v>
      </c>
      <c r="I196" t="s">
        <v>486</v>
      </c>
      <c r="J196" t="s">
        <v>430</v>
      </c>
      <c r="K196" s="1">
        <v>30685</v>
      </c>
      <c r="M196">
        <v>0.5625</v>
      </c>
      <c r="N196" s="10" t="str">
        <f t="shared" si="9"/>
        <v/>
      </c>
      <c r="O196" s="3" t="str">
        <f t="shared" si="10"/>
        <v>Delayed</v>
      </c>
      <c r="P196" s="3" t="str">
        <f t="shared" si="11"/>
        <v>January</v>
      </c>
    </row>
    <row r="197" spans="1:16" x14ac:dyDescent="0.3">
      <c r="A197">
        <v>955</v>
      </c>
      <c r="B197">
        <v>2104</v>
      </c>
      <c r="C197" t="s">
        <v>431</v>
      </c>
      <c r="D197" t="s">
        <v>423</v>
      </c>
      <c r="E197" t="s">
        <v>424</v>
      </c>
      <c r="F197">
        <v>957</v>
      </c>
      <c r="G197">
        <v>1007</v>
      </c>
      <c r="H197" t="s">
        <v>784</v>
      </c>
      <c r="I197" t="s">
        <v>785</v>
      </c>
      <c r="J197" t="s">
        <v>422</v>
      </c>
      <c r="K197" s="1">
        <v>33734</v>
      </c>
      <c r="L197" s="1">
        <v>33965</v>
      </c>
      <c r="M197">
        <v>0.95030000000000003</v>
      </c>
      <c r="N197" s="9">
        <f t="shared" si="9"/>
        <v>231</v>
      </c>
      <c r="O197" s="2" t="str">
        <f t="shared" si="10"/>
        <v>Delayed</v>
      </c>
      <c r="P197" s="2" t="str">
        <f t="shared" si="11"/>
        <v>May</v>
      </c>
    </row>
    <row r="198" spans="1:16" x14ac:dyDescent="0.3">
      <c r="A198">
        <v>538</v>
      </c>
      <c r="B198">
        <v>1702</v>
      </c>
      <c r="C198" t="s">
        <v>443</v>
      </c>
      <c r="D198" t="s">
        <v>423</v>
      </c>
      <c r="E198" t="s">
        <v>424</v>
      </c>
      <c r="F198">
        <v>484</v>
      </c>
      <c r="G198">
        <v>863</v>
      </c>
      <c r="H198" t="s">
        <v>654</v>
      </c>
      <c r="I198" t="s">
        <v>786</v>
      </c>
      <c r="J198" t="s">
        <v>430</v>
      </c>
      <c r="K198" s="1">
        <v>40032</v>
      </c>
      <c r="M198">
        <v>0.56079999999999997</v>
      </c>
      <c r="N198" s="10" t="str">
        <f t="shared" si="9"/>
        <v/>
      </c>
      <c r="O198" s="3" t="str">
        <f t="shared" si="10"/>
        <v>Delayed</v>
      </c>
      <c r="P198" s="3" t="str">
        <f t="shared" si="11"/>
        <v>August</v>
      </c>
    </row>
    <row r="199" spans="1:16" x14ac:dyDescent="0.3">
      <c r="A199">
        <v>169</v>
      </c>
      <c r="B199">
        <v>8933</v>
      </c>
      <c r="C199" t="s">
        <v>434</v>
      </c>
      <c r="D199" t="s">
        <v>423</v>
      </c>
      <c r="E199" t="s">
        <v>424</v>
      </c>
      <c r="F199">
        <v>576</v>
      </c>
      <c r="G199">
        <v>1077</v>
      </c>
      <c r="H199" t="s">
        <v>787</v>
      </c>
      <c r="I199" t="s">
        <v>788</v>
      </c>
      <c r="J199" t="s">
        <v>422</v>
      </c>
      <c r="K199" s="1">
        <v>42811</v>
      </c>
      <c r="L199" s="1">
        <v>42971</v>
      </c>
      <c r="M199">
        <v>0.53480000000000005</v>
      </c>
      <c r="N199" s="9">
        <f t="shared" si="9"/>
        <v>160</v>
      </c>
      <c r="O199" s="2" t="str">
        <f t="shared" si="10"/>
        <v>Delayed</v>
      </c>
      <c r="P199" s="2" t="str">
        <f t="shared" si="11"/>
        <v>March</v>
      </c>
    </row>
    <row r="200" spans="1:16" x14ac:dyDescent="0.3">
      <c r="A200">
        <v>924</v>
      </c>
      <c r="B200">
        <v>3624</v>
      </c>
      <c r="C200" t="s">
        <v>463</v>
      </c>
      <c r="D200" t="s">
        <v>423</v>
      </c>
      <c r="E200" t="s">
        <v>419</v>
      </c>
      <c r="F200">
        <v>606</v>
      </c>
      <c r="G200">
        <v>1021</v>
      </c>
      <c r="H200" t="s">
        <v>789</v>
      </c>
      <c r="I200" t="s">
        <v>790</v>
      </c>
      <c r="J200" t="s">
        <v>422</v>
      </c>
      <c r="K200" s="1">
        <v>42032</v>
      </c>
      <c r="L200" s="1">
        <v>42083</v>
      </c>
      <c r="M200">
        <v>0.59350000000000003</v>
      </c>
      <c r="N200" s="10">
        <f t="shared" si="9"/>
        <v>51</v>
      </c>
      <c r="O200" s="3" t="str">
        <f t="shared" si="10"/>
        <v>Delayed</v>
      </c>
      <c r="P200" s="3" t="str">
        <f t="shared" si="11"/>
        <v>January</v>
      </c>
    </row>
    <row r="201" spans="1:16" x14ac:dyDescent="0.3">
      <c r="A201">
        <v>579</v>
      </c>
      <c r="B201">
        <v>4892</v>
      </c>
      <c r="C201" t="s">
        <v>431</v>
      </c>
      <c r="D201" t="s">
        <v>418</v>
      </c>
      <c r="E201" t="s">
        <v>424</v>
      </c>
      <c r="F201">
        <v>913</v>
      </c>
      <c r="G201">
        <v>1385</v>
      </c>
      <c r="H201" t="s">
        <v>791</v>
      </c>
      <c r="I201" t="s">
        <v>792</v>
      </c>
      <c r="J201" t="s">
        <v>430</v>
      </c>
      <c r="K201" s="1">
        <v>42725</v>
      </c>
      <c r="M201">
        <v>0.65920000000000001</v>
      </c>
      <c r="N201" s="9" t="str">
        <f t="shared" si="9"/>
        <v/>
      </c>
      <c r="O201" s="2" t="str">
        <f t="shared" si="10"/>
        <v>Delayed</v>
      </c>
      <c r="P201" s="2" t="str">
        <f t="shared" si="11"/>
        <v>December</v>
      </c>
    </row>
    <row r="202" spans="1:16" x14ac:dyDescent="0.3">
      <c r="O202" s="3"/>
      <c r="P202" s="3"/>
    </row>
  </sheetData>
  <autoFilter ref="N1:P201" xr:uid="{7F3D5CEA-4CAF-4BC9-9B9D-8CA24DC4EC81}"/>
  <phoneticPr fontId="1" type="noConversion"/>
  <conditionalFormatting sqref="J1:J1048576">
    <cfRule type="containsText" dxfId="4" priority="1" operator="containsText" text="NOT DELIVERED">
      <formula>NOT(ISERROR(SEARCH("NOT DELIVERED",J1)))</formula>
    </cfRule>
  </conditionalFormatting>
  <conditionalFormatting sqref="N1:N1048576">
    <cfRule type="cellIs" dxfId="3" priority="4" operator="lessThan">
      <formula>0</formula>
    </cfRule>
  </conditionalFormatting>
  <conditionalFormatting sqref="O1:O1048576">
    <cfRule type="containsText" dxfId="2" priority="2" operator="containsText" text="Fast">
      <formula>NOT(ISERROR(SEARCH("Fast",O1)))</formula>
    </cfRule>
    <cfRule type="containsText" dxfId="1" priority="3" operator="containsText" text="Delayed">
      <formula>NOT(ISERROR(SEARCH("Delayed",O1)))</formula>
    </cfRule>
    <cfRule type="containsText" dxfId="0" priority="5" operator="containsText" text="Invalid">
      <formula>NOT(ISERROR(SEARCH("Invalid",O1)))</formula>
    </cfRule>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B3D8-A045-44E6-AEC7-17DC2E2A0C64}">
  <dimension ref="B2:T339"/>
  <sheetViews>
    <sheetView workbookViewId="0">
      <selection activeCell="C4" sqref="C4"/>
    </sheetView>
  </sheetViews>
  <sheetFormatPr defaultRowHeight="14.4" x14ac:dyDescent="0.3"/>
  <cols>
    <col min="2" max="2" width="12.5546875" bestFit="1" customWidth="1"/>
    <col min="3" max="3" width="26.109375" bestFit="1" customWidth="1"/>
    <col min="4" max="4" width="26.77734375" bestFit="1" customWidth="1"/>
    <col min="5" max="5" width="23.5546875" bestFit="1" customWidth="1"/>
  </cols>
  <sheetData>
    <row r="2" spans="2:20" x14ac:dyDescent="0.3">
      <c r="B2" t="s">
        <v>796</v>
      </c>
    </row>
    <row r="4" spans="2:20" x14ac:dyDescent="0.3">
      <c r="B4" t="s">
        <v>797</v>
      </c>
      <c r="C4" s="7">
        <f>SUM(Customer_payments[Total_Payment])</f>
        <v>9489109</v>
      </c>
      <c r="F4" t="s">
        <v>798</v>
      </c>
      <c r="H4">
        <f>COUNTA(Customer_payments[C_ID])</f>
        <v>200</v>
      </c>
      <c r="J4" t="s">
        <v>799</v>
      </c>
      <c r="L4">
        <f>COUNT(Shipment_Status[[#All],[SH_ID]])</f>
        <v>200</v>
      </c>
      <c r="N4" t="s">
        <v>800</v>
      </c>
      <c r="P4" s="6">
        <f>AVERAGE(Customer_payments[Total_Payment])</f>
        <v>47445.544999999998</v>
      </c>
      <c r="R4" t="s">
        <v>801</v>
      </c>
      <c r="T4">
        <f>AVERAGE(Shipment_Status[Shipment_Charges])</f>
        <v>937.97</v>
      </c>
    </row>
    <row r="7" spans="2:20" x14ac:dyDescent="0.3">
      <c r="B7" t="s">
        <v>802</v>
      </c>
      <c r="C7" s="8">
        <f>AVERAGE(Shipment_Status[ShipmentEfficiency])</f>
        <v>0.54268099999999997</v>
      </c>
      <c r="E7" t="s">
        <v>803</v>
      </c>
      <c r="G7">
        <f>COUNTIF(Shipment_Status[Current_Status],"DELIVERED")</f>
        <v>100</v>
      </c>
      <c r="I7" t="s">
        <v>804</v>
      </c>
      <c r="K7">
        <f>ROUND(AVERAGE(Shipment_Status[Shipment_Weight]),2)</f>
        <v>522.02</v>
      </c>
    </row>
    <row r="10" spans="2:20" x14ac:dyDescent="0.3">
      <c r="B10" t="s">
        <v>805</v>
      </c>
      <c r="J10" t="s">
        <v>822</v>
      </c>
      <c r="L10">
        <f>MAX(Customer_payments[Total_Payment])</f>
        <v>99604</v>
      </c>
      <c r="N10" t="str">
        <f>_xlfn.XLOOKUP(L10,Customer_payments[Total_Payment],Customer_payments[Customer_Name])</f>
        <v>Philip</v>
      </c>
    </row>
    <row r="13" spans="2:20" x14ac:dyDescent="0.3">
      <c r="B13" t="s">
        <v>808</v>
      </c>
    </row>
    <row r="24" spans="2:12" x14ac:dyDescent="0.3">
      <c r="B24" t="s">
        <v>809</v>
      </c>
      <c r="L24" t="s">
        <v>810</v>
      </c>
    </row>
    <row r="34" spans="2:3" x14ac:dyDescent="0.3">
      <c r="B34" s="4" t="s">
        <v>2</v>
      </c>
      <c r="C34" t="s">
        <v>795</v>
      </c>
    </row>
    <row r="35" spans="2:3" x14ac:dyDescent="0.3">
      <c r="B35" s="5" t="s">
        <v>19</v>
      </c>
      <c r="C35" s="7">
        <v>3704901</v>
      </c>
    </row>
    <row r="36" spans="2:3" x14ac:dyDescent="0.3">
      <c r="B36" s="5" t="s">
        <v>10</v>
      </c>
      <c r="C36" s="7">
        <v>3420288</v>
      </c>
    </row>
    <row r="37" spans="2:3" x14ac:dyDescent="0.3">
      <c r="B37" s="5" t="s">
        <v>15</v>
      </c>
      <c r="C37" s="7">
        <v>2363920</v>
      </c>
    </row>
    <row r="38" spans="2:3" x14ac:dyDescent="0.3">
      <c r="B38" s="5" t="s">
        <v>794</v>
      </c>
      <c r="C38" s="7">
        <v>9489109</v>
      </c>
    </row>
    <row r="49" spans="2:3" x14ac:dyDescent="0.3">
      <c r="B49" s="4" t="s">
        <v>806</v>
      </c>
      <c r="C49" t="s">
        <v>807</v>
      </c>
    </row>
    <row r="50" spans="2:3" x14ac:dyDescent="0.3">
      <c r="B50" s="5" t="s">
        <v>418</v>
      </c>
      <c r="C50">
        <v>109</v>
      </c>
    </row>
    <row r="51" spans="2:3" x14ac:dyDescent="0.3">
      <c r="B51" s="5" t="s">
        <v>423</v>
      </c>
      <c r="C51">
        <v>91</v>
      </c>
    </row>
    <row r="52" spans="2:3" x14ac:dyDescent="0.3">
      <c r="B52" s="5" t="s">
        <v>794</v>
      </c>
      <c r="C52">
        <v>200</v>
      </c>
    </row>
    <row r="56" spans="2:3" x14ac:dyDescent="0.3">
      <c r="B56" s="4" t="s">
        <v>806</v>
      </c>
      <c r="C56" t="s">
        <v>811</v>
      </c>
    </row>
    <row r="57" spans="2:3" x14ac:dyDescent="0.3">
      <c r="B57" s="5" t="s">
        <v>258</v>
      </c>
      <c r="C57">
        <v>14</v>
      </c>
    </row>
    <row r="58" spans="2:3" x14ac:dyDescent="0.3">
      <c r="B58" s="5" t="s">
        <v>196</v>
      </c>
      <c r="C58">
        <v>11</v>
      </c>
    </row>
    <row r="59" spans="2:3" x14ac:dyDescent="0.3">
      <c r="B59" s="5" t="s">
        <v>261</v>
      </c>
      <c r="C59">
        <v>10</v>
      </c>
    </row>
    <row r="60" spans="2:3" x14ac:dyDescent="0.3">
      <c r="B60" s="5" t="s">
        <v>201</v>
      </c>
      <c r="C60">
        <v>10</v>
      </c>
    </row>
    <row r="61" spans="2:3" x14ac:dyDescent="0.3">
      <c r="B61" s="5" t="s">
        <v>209</v>
      </c>
      <c r="C61">
        <v>10</v>
      </c>
    </row>
    <row r="62" spans="2:3" x14ac:dyDescent="0.3">
      <c r="B62" s="5" t="s">
        <v>233</v>
      </c>
      <c r="C62">
        <v>10</v>
      </c>
    </row>
    <row r="63" spans="2:3" x14ac:dyDescent="0.3">
      <c r="B63" s="5" t="s">
        <v>203</v>
      </c>
      <c r="C63">
        <v>10</v>
      </c>
    </row>
    <row r="64" spans="2:3" x14ac:dyDescent="0.3">
      <c r="B64" s="5" t="s">
        <v>198</v>
      </c>
      <c r="C64">
        <v>10</v>
      </c>
    </row>
    <row r="65" spans="2:3" x14ac:dyDescent="0.3">
      <c r="B65" s="5" t="s">
        <v>247</v>
      </c>
      <c r="C65">
        <v>9</v>
      </c>
    </row>
    <row r="66" spans="2:3" x14ac:dyDescent="0.3">
      <c r="B66" s="5" t="s">
        <v>206</v>
      </c>
      <c r="C66">
        <v>8</v>
      </c>
    </row>
    <row r="67" spans="2:3" x14ac:dyDescent="0.3">
      <c r="B67" s="5" t="s">
        <v>223</v>
      </c>
      <c r="C67">
        <v>8</v>
      </c>
    </row>
    <row r="68" spans="2:3" x14ac:dyDescent="0.3">
      <c r="B68" s="5" t="s">
        <v>214</v>
      </c>
      <c r="C68">
        <v>8</v>
      </c>
    </row>
    <row r="69" spans="2:3" x14ac:dyDescent="0.3">
      <c r="B69" s="5" t="s">
        <v>236</v>
      </c>
      <c r="C69">
        <v>8</v>
      </c>
    </row>
    <row r="70" spans="2:3" x14ac:dyDescent="0.3">
      <c r="B70" s="5" t="s">
        <v>263</v>
      </c>
      <c r="C70">
        <v>7</v>
      </c>
    </row>
    <row r="71" spans="2:3" x14ac:dyDescent="0.3">
      <c r="B71" s="5" t="s">
        <v>253</v>
      </c>
      <c r="C71">
        <v>7</v>
      </c>
    </row>
    <row r="72" spans="2:3" x14ac:dyDescent="0.3">
      <c r="B72" s="5" t="s">
        <v>239</v>
      </c>
      <c r="C72">
        <v>7</v>
      </c>
    </row>
    <row r="73" spans="2:3" x14ac:dyDescent="0.3">
      <c r="B73" s="5" t="s">
        <v>216</v>
      </c>
      <c r="C73">
        <v>7</v>
      </c>
    </row>
    <row r="74" spans="2:3" x14ac:dyDescent="0.3">
      <c r="B74" s="5" t="s">
        <v>249</v>
      </c>
      <c r="C74">
        <v>6</v>
      </c>
    </row>
    <row r="75" spans="2:3" x14ac:dyDescent="0.3">
      <c r="B75" s="5" t="s">
        <v>226</v>
      </c>
      <c r="C75">
        <v>6</v>
      </c>
    </row>
    <row r="76" spans="2:3" x14ac:dyDescent="0.3">
      <c r="B76" s="5" t="s">
        <v>220</v>
      </c>
      <c r="C76">
        <v>6</v>
      </c>
    </row>
    <row r="77" spans="2:3" x14ac:dyDescent="0.3">
      <c r="B77" s="5" t="s">
        <v>211</v>
      </c>
      <c r="C77">
        <v>5</v>
      </c>
    </row>
    <row r="78" spans="2:3" x14ac:dyDescent="0.3">
      <c r="B78" s="5" t="s">
        <v>289</v>
      </c>
      <c r="C78">
        <v>5</v>
      </c>
    </row>
    <row r="79" spans="2:3" x14ac:dyDescent="0.3">
      <c r="B79" s="5" t="s">
        <v>266</v>
      </c>
      <c r="C79">
        <v>4</v>
      </c>
    </row>
    <row r="80" spans="2:3" x14ac:dyDescent="0.3">
      <c r="B80" s="5" t="s">
        <v>229</v>
      </c>
      <c r="C80">
        <v>4</v>
      </c>
    </row>
    <row r="81" spans="2:3" x14ac:dyDescent="0.3">
      <c r="B81" s="5" t="s">
        <v>302</v>
      </c>
      <c r="C81">
        <v>4</v>
      </c>
    </row>
    <row r="82" spans="2:3" x14ac:dyDescent="0.3">
      <c r="B82" s="5" t="s">
        <v>305</v>
      </c>
      <c r="C82">
        <v>4</v>
      </c>
    </row>
    <row r="83" spans="2:3" x14ac:dyDescent="0.3">
      <c r="B83" s="5" t="s">
        <v>314</v>
      </c>
      <c r="C83">
        <v>2</v>
      </c>
    </row>
    <row r="84" spans="2:3" x14ac:dyDescent="0.3">
      <c r="B84" s="5" t="s">
        <v>794</v>
      </c>
      <c r="C84">
        <v>200</v>
      </c>
    </row>
    <row r="88" spans="2:3" x14ac:dyDescent="0.3">
      <c r="B88" t="s">
        <v>812</v>
      </c>
    </row>
    <row r="90" spans="2:3" x14ac:dyDescent="0.3">
      <c r="B90" s="4" t="s">
        <v>814</v>
      </c>
      <c r="C90" t="s">
        <v>815</v>
      </c>
    </row>
    <row r="91" spans="2:3" x14ac:dyDescent="0.3">
      <c r="B91" s="5" t="s">
        <v>16</v>
      </c>
      <c r="C91" s="7">
        <v>4233750</v>
      </c>
    </row>
    <row r="92" spans="2:3" x14ac:dyDescent="0.3">
      <c r="B92" s="5" t="s">
        <v>11</v>
      </c>
      <c r="C92" s="7">
        <v>5255359</v>
      </c>
    </row>
    <row r="93" spans="2:3" x14ac:dyDescent="0.3">
      <c r="B93" s="5" t="s">
        <v>794</v>
      </c>
      <c r="C93" s="7">
        <v>9489109</v>
      </c>
    </row>
    <row r="102" spans="2:3" x14ac:dyDescent="0.3">
      <c r="B102" s="4" t="s">
        <v>817</v>
      </c>
      <c r="C102" t="s">
        <v>816</v>
      </c>
    </row>
    <row r="103" spans="2:3" x14ac:dyDescent="0.3">
      <c r="B103" s="5" t="s">
        <v>13</v>
      </c>
      <c r="C103">
        <v>182</v>
      </c>
    </row>
    <row r="104" spans="2:3" x14ac:dyDescent="0.3">
      <c r="B104" s="5" t="s">
        <v>177</v>
      </c>
      <c r="C104">
        <v>10</v>
      </c>
    </row>
    <row r="105" spans="2:3" x14ac:dyDescent="0.3">
      <c r="B105" s="5" t="s">
        <v>184</v>
      </c>
      <c r="C105">
        <v>8</v>
      </c>
    </row>
    <row r="106" spans="2:3" x14ac:dyDescent="0.3">
      <c r="B106" s="5" t="s">
        <v>794</v>
      </c>
      <c r="C106">
        <v>200</v>
      </c>
    </row>
    <row r="115" spans="2:3" x14ac:dyDescent="0.3">
      <c r="B115" s="4" t="s">
        <v>818</v>
      </c>
      <c r="C115" t="s">
        <v>813</v>
      </c>
    </row>
    <row r="116" spans="2:3" x14ac:dyDescent="0.3">
      <c r="B116" s="5">
        <v>1</v>
      </c>
      <c r="C116" s="7">
        <v>4905650</v>
      </c>
    </row>
    <row r="117" spans="2:3" x14ac:dyDescent="0.3">
      <c r="B117" s="5">
        <v>3</v>
      </c>
      <c r="C117" s="7">
        <v>801079</v>
      </c>
    </row>
    <row r="118" spans="2:3" x14ac:dyDescent="0.3">
      <c r="B118" s="5">
        <v>4</v>
      </c>
      <c r="C118" s="7">
        <v>35150</v>
      </c>
    </row>
    <row r="119" spans="2:3" x14ac:dyDescent="0.3">
      <c r="B119" s="5">
        <v>5</v>
      </c>
      <c r="C119" s="7">
        <v>242397</v>
      </c>
    </row>
    <row r="120" spans="2:3" x14ac:dyDescent="0.3">
      <c r="B120" s="5">
        <v>6</v>
      </c>
      <c r="C120" s="7">
        <v>213509</v>
      </c>
    </row>
    <row r="121" spans="2:3" x14ac:dyDescent="0.3">
      <c r="B121" s="5">
        <v>7</v>
      </c>
      <c r="C121" s="7">
        <v>461015</v>
      </c>
    </row>
    <row r="122" spans="2:3" x14ac:dyDescent="0.3">
      <c r="B122" s="5">
        <v>8</v>
      </c>
      <c r="C122" s="7">
        <v>787157</v>
      </c>
    </row>
    <row r="123" spans="2:3" x14ac:dyDescent="0.3">
      <c r="B123" s="5">
        <v>9</v>
      </c>
      <c r="C123" s="7">
        <v>892625</v>
      </c>
    </row>
    <row r="124" spans="2:3" x14ac:dyDescent="0.3">
      <c r="B124" s="5">
        <v>10</v>
      </c>
      <c r="C124" s="7">
        <v>387587</v>
      </c>
    </row>
    <row r="125" spans="2:3" x14ac:dyDescent="0.3">
      <c r="B125" s="5">
        <v>11</v>
      </c>
      <c r="C125" s="7">
        <v>543208</v>
      </c>
    </row>
    <row r="126" spans="2:3" x14ac:dyDescent="0.3">
      <c r="B126" s="5">
        <v>12</v>
      </c>
      <c r="C126" s="7">
        <v>219732</v>
      </c>
    </row>
    <row r="127" spans="2:3" x14ac:dyDescent="0.3">
      <c r="B127" s="5" t="s">
        <v>794</v>
      </c>
      <c r="C127" s="7">
        <v>9489109</v>
      </c>
    </row>
    <row r="131" spans="2:3" x14ac:dyDescent="0.3">
      <c r="B131" s="4" t="s">
        <v>819</v>
      </c>
      <c r="C131" t="s">
        <v>807</v>
      </c>
    </row>
    <row r="132" spans="2:3" x14ac:dyDescent="0.3">
      <c r="B132" s="5" t="s">
        <v>422</v>
      </c>
      <c r="C132">
        <v>100</v>
      </c>
    </row>
    <row r="133" spans="2:3" x14ac:dyDescent="0.3">
      <c r="B133" s="5" t="s">
        <v>430</v>
      </c>
      <c r="C133">
        <v>100</v>
      </c>
    </row>
    <row r="134" spans="2:3" x14ac:dyDescent="0.3">
      <c r="B134" s="5" t="s">
        <v>794</v>
      </c>
      <c r="C134">
        <v>200</v>
      </c>
    </row>
    <row r="148" spans="2:3" x14ac:dyDescent="0.3">
      <c r="B148" s="4" t="s">
        <v>820</v>
      </c>
      <c r="C148" t="s">
        <v>797</v>
      </c>
    </row>
    <row r="149" spans="2:3" x14ac:dyDescent="0.3">
      <c r="B149" s="5" t="s">
        <v>20</v>
      </c>
      <c r="C149">
        <v>227910</v>
      </c>
    </row>
    <row r="150" spans="2:3" x14ac:dyDescent="0.3">
      <c r="B150" s="5" t="s">
        <v>32</v>
      </c>
      <c r="C150">
        <v>174415</v>
      </c>
    </row>
    <row r="151" spans="2:3" x14ac:dyDescent="0.3">
      <c r="B151" s="5" t="s">
        <v>65</v>
      </c>
      <c r="C151">
        <v>147150</v>
      </c>
    </row>
    <row r="152" spans="2:3" x14ac:dyDescent="0.3">
      <c r="B152" s="5" t="s">
        <v>14</v>
      </c>
      <c r="C152">
        <v>146752</v>
      </c>
    </row>
    <row r="153" spans="2:3" x14ac:dyDescent="0.3">
      <c r="B153" s="5" t="s">
        <v>22</v>
      </c>
      <c r="C153">
        <v>137966</v>
      </c>
    </row>
    <row r="154" spans="2:3" x14ac:dyDescent="0.3">
      <c r="B154" s="5" t="s">
        <v>87</v>
      </c>
      <c r="C154">
        <v>135685</v>
      </c>
    </row>
    <row r="155" spans="2:3" x14ac:dyDescent="0.3">
      <c r="B155" s="5" t="s">
        <v>9</v>
      </c>
      <c r="C155">
        <v>135129</v>
      </c>
    </row>
    <row r="156" spans="2:3" x14ac:dyDescent="0.3">
      <c r="B156" s="5" t="s">
        <v>41</v>
      </c>
      <c r="C156">
        <v>131564</v>
      </c>
    </row>
    <row r="157" spans="2:3" x14ac:dyDescent="0.3">
      <c r="B157" s="5" t="s">
        <v>68</v>
      </c>
      <c r="C157">
        <v>129325</v>
      </c>
    </row>
    <row r="158" spans="2:3" x14ac:dyDescent="0.3">
      <c r="B158" s="5" t="s">
        <v>71</v>
      </c>
      <c r="C158">
        <v>120071</v>
      </c>
    </row>
    <row r="159" spans="2:3" x14ac:dyDescent="0.3">
      <c r="B159" s="5" t="s">
        <v>794</v>
      </c>
      <c r="C159">
        <v>1485967</v>
      </c>
    </row>
    <row r="163" spans="2:3" x14ac:dyDescent="0.3">
      <c r="B163" s="4" t="s">
        <v>821</v>
      </c>
      <c r="C163" t="s">
        <v>807</v>
      </c>
    </row>
    <row r="164" spans="2:3" x14ac:dyDescent="0.3">
      <c r="B164" s="5" t="s">
        <v>418</v>
      </c>
      <c r="C164">
        <v>109</v>
      </c>
    </row>
    <row r="165" spans="2:3" x14ac:dyDescent="0.3">
      <c r="B165" s="5" t="s">
        <v>423</v>
      </c>
      <c r="C165">
        <v>91</v>
      </c>
    </row>
    <row r="166" spans="2:3" x14ac:dyDescent="0.3">
      <c r="B166" s="5" t="s">
        <v>794</v>
      </c>
      <c r="C166">
        <v>200</v>
      </c>
    </row>
    <row r="180" spans="2:3" x14ac:dyDescent="0.3">
      <c r="B180" s="4" t="s">
        <v>806</v>
      </c>
      <c r="C180" t="s">
        <v>816</v>
      </c>
    </row>
    <row r="181" spans="2:3" x14ac:dyDescent="0.3">
      <c r="B181" s="5" t="s">
        <v>11</v>
      </c>
      <c r="C181">
        <v>106</v>
      </c>
    </row>
    <row r="182" spans="2:3" x14ac:dyDescent="0.3">
      <c r="B182" s="5" t="s">
        <v>16</v>
      </c>
      <c r="C182">
        <v>94</v>
      </c>
    </row>
    <row r="183" spans="2:3" x14ac:dyDescent="0.3">
      <c r="B183" s="5" t="s">
        <v>794</v>
      </c>
      <c r="C183">
        <v>200</v>
      </c>
    </row>
    <row r="188" spans="2:3" x14ac:dyDescent="0.3">
      <c r="B188" s="4" t="s">
        <v>823</v>
      </c>
      <c r="C188" t="s">
        <v>816</v>
      </c>
    </row>
    <row r="189" spans="2:3" x14ac:dyDescent="0.3">
      <c r="B189" s="5" t="s">
        <v>10</v>
      </c>
      <c r="C189">
        <v>68</v>
      </c>
    </row>
    <row r="190" spans="2:3" x14ac:dyDescent="0.3">
      <c r="B190" s="5" t="s">
        <v>19</v>
      </c>
      <c r="C190">
        <v>78</v>
      </c>
    </row>
    <row r="191" spans="2:3" x14ac:dyDescent="0.3">
      <c r="B191" s="5" t="s">
        <v>15</v>
      </c>
      <c r="C191">
        <v>54</v>
      </c>
    </row>
    <row r="192" spans="2:3" x14ac:dyDescent="0.3">
      <c r="B192" s="5" t="s">
        <v>794</v>
      </c>
      <c r="C192">
        <v>200</v>
      </c>
    </row>
    <row r="202" spans="2:3" x14ac:dyDescent="0.3">
      <c r="B202" s="4" t="s">
        <v>829</v>
      </c>
      <c r="C202" t="s">
        <v>807</v>
      </c>
    </row>
    <row r="203" spans="2:3" x14ac:dyDescent="0.3">
      <c r="B203" s="5" t="s">
        <v>825</v>
      </c>
      <c r="C203">
        <v>172</v>
      </c>
    </row>
    <row r="204" spans="2:3" x14ac:dyDescent="0.3">
      <c r="B204" s="5" t="s">
        <v>826</v>
      </c>
      <c r="C204">
        <v>5</v>
      </c>
    </row>
    <row r="205" spans="2:3" x14ac:dyDescent="0.3">
      <c r="B205" s="5" t="s">
        <v>827</v>
      </c>
      <c r="C205">
        <v>12</v>
      </c>
    </row>
    <row r="206" spans="2:3" x14ac:dyDescent="0.3">
      <c r="B206" s="5" t="s">
        <v>828</v>
      </c>
      <c r="C206">
        <v>11</v>
      </c>
    </row>
    <row r="207" spans="2:3" x14ac:dyDescent="0.3">
      <c r="B207" s="5" t="s">
        <v>794</v>
      </c>
      <c r="C207">
        <v>200</v>
      </c>
    </row>
    <row r="217" spans="2:3" x14ac:dyDescent="0.3">
      <c r="B217" s="4" t="s">
        <v>806</v>
      </c>
      <c r="C217" t="s">
        <v>843</v>
      </c>
    </row>
    <row r="218" spans="2:3" x14ac:dyDescent="0.3">
      <c r="B218" s="5" t="s">
        <v>831</v>
      </c>
      <c r="C218" s="12">
        <v>125.47826086956522</v>
      </c>
    </row>
    <row r="219" spans="2:3" x14ac:dyDescent="0.3">
      <c r="B219" s="5" t="s">
        <v>832</v>
      </c>
      <c r="C219" s="12">
        <v>155.38461538461539</v>
      </c>
    </row>
    <row r="220" spans="2:3" x14ac:dyDescent="0.3">
      <c r="B220" s="5" t="s">
        <v>833</v>
      </c>
      <c r="C220" s="12">
        <v>97.7</v>
      </c>
    </row>
    <row r="221" spans="2:3" x14ac:dyDescent="0.3">
      <c r="B221" s="5" t="s">
        <v>834</v>
      </c>
      <c r="C221" s="12">
        <v>135.88888888888889</v>
      </c>
    </row>
    <row r="222" spans="2:3" x14ac:dyDescent="0.3">
      <c r="B222" s="5" t="s">
        <v>835</v>
      </c>
      <c r="C222" s="12">
        <v>107.33333333333333</v>
      </c>
    </row>
    <row r="223" spans="2:3" x14ac:dyDescent="0.3">
      <c r="B223" s="5" t="s">
        <v>836</v>
      </c>
      <c r="C223" s="12">
        <v>65.599999999999994</v>
      </c>
    </row>
    <row r="224" spans="2:3" x14ac:dyDescent="0.3">
      <c r="B224" s="5" t="s">
        <v>837</v>
      </c>
      <c r="C224" s="12">
        <v>96.666666666666671</v>
      </c>
    </row>
    <row r="225" spans="2:3" x14ac:dyDescent="0.3">
      <c r="B225" s="5" t="s">
        <v>838</v>
      </c>
      <c r="C225" s="12">
        <v>73.8</v>
      </c>
    </row>
    <row r="226" spans="2:3" x14ac:dyDescent="0.3">
      <c r="B226" s="5" t="s">
        <v>839</v>
      </c>
      <c r="C226" s="12">
        <v>16</v>
      </c>
    </row>
    <row r="227" spans="2:3" x14ac:dyDescent="0.3">
      <c r="B227" s="5" t="s">
        <v>840</v>
      </c>
      <c r="C227" s="12">
        <v>14.75</v>
      </c>
    </row>
    <row r="228" spans="2:3" x14ac:dyDescent="0.3">
      <c r="B228" s="5" t="s">
        <v>841</v>
      </c>
      <c r="C228" s="12">
        <v>9.5</v>
      </c>
    </row>
    <row r="229" spans="2:3" x14ac:dyDescent="0.3">
      <c r="B229" s="5" t="s">
        <v>842</v>
      </c>
      <c r="C229" s="12" t="e">
        <v>#DIV/0!</v>
      </c>
    </row>
    <row r="230" spans="2:3" x14ac:dyDescent="0.3">
      <c r="B230" s="5" t="s">
        <v>794</v>
      </c>
      <c r="C230" s="12">
        <v>104.74</v>
      </c>
    </row>
    <row r="235" spans="2:3" x14ac:dyDescent="0.3">
      <c r="B235" s="4" t="s">
        <v>844</v>
      </c>
      <c r="C235" t="s">
        <v>845</v>
      </c>
    </row>
    <row r="236" spans="2:3" x14ac:dyDescent="0.3">
      <c r="B236" s="5" t="s">
        <v>238</v>
      </c>
      <c r="C236">
        <v>3</v>
      </c>
    </row>
    <row r="237" spans="2:3" x14ac:dyDescent="0.3">
      <c r="B237" s="5" t="s">
        <v>317</v>
      </c>
      <c r="C237">
        <v>2</v>
      </c>
    </row>
    <row r="238" spans="2:3" x14ac:dyDescent="0.3">
      <c r="B238" s="5" t="s">
        <v>333</v>
      </c>
      <c r="C238">
        <v>2</v>
      </c>
    </row>
    <row r="239" spans="2:3" x14ac:dyDescent="0.3">
      <c r="B239" s="5" t="s">
        <v>60</v>
      </c>
      <c r="C239">
        <v>2</v>
      </c>
    </row>
    <row r="240" spans="2:3" x14ac:dyDescent="0.3">
      <c r="B240" s="5" t="s">
        <v>278</v>
      </c>
      <c r="C240">
        <v>2</v>
      </c>
    </row>
    <row r="241" spans="2:3" x14ac:dyDescent="0.3">
      <c r="B241" s="5" t="s">
        <v>251</v>
      </c>
      <c r="C241">
        <v>2</v>
      </c>
    </row>
    <row r="242" spans="2:3" x14ac:dyDescent="0.3">
      <c r="B242" s="5" t="s">
        <v>273</v>
      </c>
      <c r="C242">
        <v>2</v>
      </c>
    </row>
    <row r="243" spans="2:3" x14ac:dyDescent="0.3">
      <c r="B243" s="5" t="s">
        <v>217</v>
      </c>
      <c r="C243">
        <v>2</v>
      </c>
    </row>
    <row r="244" spans="2:3" x14ac:dyDescent="0.3">
      <c r="B244" s="5" t="s">
        <v>312</v>
      </c>
      <c r="C244">
        <v>2</v>
      </c>
    </row>
    <row r="245" spans="2:3" x14ac:dyDescent="0.3">
      <c r="B245" s="5" t="s">
        <v>316</v>
      </c>
      <c r="C245">
        <v>2</v>
      </c>
    </row>
    <row r="246" spans="2:3" x14ac:dyDescent="0.3">
      <c r="B246" s="5" t="s">
        <v>367</v>
      </c>
      <c r="C246">
        <v>2</v>
      </c>
    </row>
    <row r="247" spans="2:3" x14ac:dyDescent="0.3">
      <c r="B247" s="5" t="s">
        <v>143</v>
      </c>
      <c r="C247">
        <v>2</v>
      </c>
    </row>
    <row r="248" spans="2:3" x14ac:dyDescent="0.3">
      <c r="B248" s="5" t="s">
        <v>357</v>
      </c>
      <c r="C248">
        <v>2</v>
      </c>
    </row>
    <row r="249" spans="2:3" x14ac:dyDescent="0.3">
      <c r="B249" s="5" t="s">
        <v>129</v>
      </c>
      <c r="C249">
        <v>2</v>
      </c>
    </row>
    <row r="250" spans="2:3" x14ac:dyDescent="0.3">
      <c r="B250" s="5" t="s">
        <v>174</v>
      </c>
      <c r="C250">
        <v>2</v>
      </c>
    </row>
    <row r="251" spans="2:3" x14ac:dyDescent="0.3">
      <c r="B251" s="5" t="s">
        <v>235</v>
      </c>
      <c r="C251">
        <v>2</v>
      </c>
    </row>
    <row r="252" spans="2:3" x14ac:dyDescent="0.3">
      <c r="B252" s="5" t="s">
        <v>259</v>
      </c>
      <c r="C252">
        <v>2</v>
      </c>
    </row>
    <row r="253" spans="2:3" x14ac:dyDescent="0.3">
      <c r="B253" s="5" t="s">
        <v>255</v>
      </c>
      <c r="C253">
        <v>2</v>
      </c>
    </row>
    <row r="254" spans="2:3" x14ac:dyDescent="0.3">
      <c r="B254" s="5" t="s">
        <v>332</v>
      </c>
      <c r="C254">
        <v>2</v>
      </c>
    </row>
    <row r="255" spans="2:3" x14ac:dyDescent="0.3">
      <c r="B255" s="5" t="s">
        <v>350</v>
      </c>
      <c r="C255">
        <v>2</v>
      </c>
    </row>
    <row r="256" spans="2:3" x14ac:dyDescent="0.3">
      <c r="B256" s="5" t="s">
        <v>264</v>
      </c>
      <c r="C256">
        <v>2</v>
      </c>
    </row>
    <row r="257" spans="2:3" x14ac:dyDescent="0.3">
      <c r="B257" s="5" t="s">
        <v>195</v>
      </c>
      <c r="C257">
        <v>2</v>
      </c>
    </row>
    <row r="258" spans="2:3" x14ac:dyDescent="0.3">
      <c r="B258" s="5" t="s">
        <v>366</v>
      </c>
      <c r="C258">
        <v>2</v>
      </c>
    </row>
    <row r="259" spans="2:3" x14ac:dyDescent="0.3">
      <c r="B259" s="5" t="s">
        <v>794</v>
      </c>
      <c r="C259">
        <v>47</v>
      </c>
    </row>
    <row r="264" spans="2:3" x14ac:dyDescent="0.3">
      <c r="B264" s="4" t="s">
        <v>846</v>
      </c>
      <c r="C264" t="s">
        <v>847</v>
      </c>
    </row>
    <row r="265" spans="2:3" x14ac:dyDescent="0.3">
      <c r="B265" s="5" t="s">
        <v>197</v>
      </c>
      <c r="C265">
        <v>14</v>
      </c>
    </row>
    <row r="266" spans="2:3" x14ac:dyDescent="0.3">
      <c r="B266" s="5" t="s">
        <v>250</v>
      </c>
      <c r="C266">
        <v>13</v>
      </c>
    </row>
    <row r="267" spans="2:3" x14ac:dyDescent="0.3">
      <c r="B267" s="5" t="s">
        <v>306</v>
      </c>
      <c r="C267">
        <v>12</v>
      </c>
    </row>
    <row r="268" spans="2:3" x14ac:dyDescent="0.3">
      <c r="B268" s="5" t="s">
        <v>207</v>
      </c>
      <c r="C268">
        <v>11</v>
      </c>
    </row>
    <row r="269" spans="2:3" x14ac:dyDescent="0.3">
      <c r="B269" s="5" t="s">
        <v>240</v>
      </c>
      <c r="C269">
        <v>11</v>
      </c>
    </row>
    <row r="270" spans="2:3" x14ac:dyDescent="0.3">
      <c r="B270" s="5" t="s">
        <v>199</v>
      </c>
      <c r="C270">
        <v>9</v>
      </c>
    </row>
    <row r="271" spans="2:3" x14ac:dyDescent="0.3">
      <c r="B271" s="5" t="s">
        <v>210</v>
      </c>
      <c r="C271">
        <v>8</v>
      </c>
    </row>
    <row r="272" spans="2:3" x14ac:dyDescent="0.3">
      <c r="B272" s="5" t="s">
        <v>224</v>
      </c>
      <c r="C272">
        <v>8</v>
      </c>
    </row>
    <row r="273" spans="2:3" x14ac:dyDescent="0.3">
      <c r="B273" s="5" t="s">
        <v>202</v>
      </c>
      <c r="C273">
        <v>7</v>
      </c>
    </row>
    <row r="274" spans="2:3" x14ac:dyDescent="0.3">
      <c r="B274" s="5" t="s">
        <v>248</v>
      </c>
      <c r="C274">
        <v>7</v>
      </c>
    </row>
    <row r="275" spans="2:3" x14ac:dyDescent="0.3">
      <c r="B275" s="5" t="s">
        <v>794</v>
      </c>
      <c r="C275">
        <v>100</v>
      </c>
    </row>
    <row r="286" spans="2:3" x14ac:dyDescent="0.3">
      <c r="B286" s="4" t="s">
        <v>848</v>
      </c>
      <c r="C286" t="s">
        <v>847</v>
      </c>
    </row>
    <row r="287" spans="2:3" x14ac:dyDescent="0.3">
      <c r="B287" s="5" t="s">
        <v>258</v>
      </c>
      <c r="C287">
        <v>14</v>
      </c>
    </row>
    <row r="288" spans="2:3" x14ac:dyDescent="0.3">
      <c r="B288" s="5" t="s">
        <v>196</v>
      </c>
      <c r="C288">
        <v>11</v>
      </c>
    </row>
    <row r="289" spans="2:3" x14ac:dyDescent="0.3">
      <c r="B289" s="5" t="s">
        <v>261</v>
      </c>
      <c r="C289">
        <v>10</v>
      </c>
    </row>
    <row r="290" spans="2:3" x14ac:dyDescent="0.3">
      <c r="B290" s="5" t="s">
        <v>201</v>
      </c>
      <c r="C290">
        <v>10</v>
      </c>
    </row>
    <row r="291" spans="2:3" x14ac:dyDescent="0.3">
      <c r="B291" s="5" t="s">
        <v>209</v>
      </c>
      <c r="C291">
        <v>10</v>
      </c>
    </row>
    <row r="292" spans="2:3" x14ac:dyDescent="0.3">
      <c r="B292" s="5" t="s">
        <v>233</v>
      </c>
      <c r="C292">
        <v>10</v>
      </c>
    </row>
    <row r="293" spans="2:3" x14ac:dyDescent="0.3">
      <c r="B293" s="5" t="s">
        <v>203</v>
      </c>
      <c r="C293">
        <v>10</v>
      </c>
    </row>
    <row r="294" spans="2:3" x14ac:dyDescent="0.3">
      <c r="B294" s="5" t="s">
        <v>198</v>
      </c>
      <c r="C294">
        <v>10</v>
      </c>
    </row>
    <row r="295" spans="2:3" x14ac:dyDescent="0.3">
      <c r="B295" s="5" t="s">
        <v>247</v>
      </c>
      <c r="C295">
        <v>9</v>
      </c>
    </row>
    <row r="296" spans="2:3" x14ac:dyDescent="0.3">
      <c r="B296" s="5" t="s">
        <v>206</v>
      </c>
      <c r="C296">
        <v>8</v>
      </c>
    </row>
    <row r="297" spans="2:3" x14ac:dyDescent="0.3">
      <c r="B297" s="5" t="s">
        <v>223</v>
      </c>
      <c r="C297">
        <v>8</v>
      </c>
    </row>
    <row r="298" spans="2:3" x14ac:dyDescent="0.3">
      <c r="B298" s="5" t="s">
        <v>214</v>
      </c>
      <c r="C298">
        <v>8</v>
      </c>
    </row>
    <row r="299" spans="2:3" x14ac:dyDescent="0.3">
      <c r="B299" s="5" t="s">
        <v>236</v>
      </c>
      <c r="C299">
        <v>8</v>
      </c>
    </row>
    <row r="300" spans="2:3" x14ac:dyDescent="0.3">
      <c r="B300" s="5" t="s">
        <v>263</v>
      </c>
      <c r="C300">
        <v>7</v>
      </c>
    </row>
    <row r="301" spans="2:3" x14ac:dyDescent="0.3">
      <c r="B301" s="5" t="s">
        <v>253</v>
      </c>
      <c r="C301">
        <v>7</v>
      </c>
    </row>
    <row r="302" spans="2:3" x14ac:dyDescent="0.3">
      <c r="B302" s="5" t="s">
        <v>239</v>
      </c>
      <c r="C302">
        <v>7</v>
      </c>
    </row>
    <row r="303" spans="2:3" x14ac:dyDescent="0.3">
      <c r="B303" s="5" t="s">
        <v>216</v>
      </c>
      <c r="C303">
        <v>7</v>
      </c>
    </row>
    <row r="304" spans="2:3" x14ac:dyDescent="0.3">
      <c r="B304" s="5" t="s">
        <v>249</v>
      </c>
      <c r="C304">
        <v>6</v>
      </c>
    </row>
    <row r="305" spans="2:3" x14ac:dyDescent="0.3">
      <c r="B305" s="5" t="s">
        <v>226</v>
      </c>
      <c r="C305">
        <v>6</v>
      </c>
    </row>
    <row r="306" spans="2:3" x14ac:dyDescent="0.3">
      <c r="B306" s="5" t="s">
        <v>220</v>
      </c>
      <c r="C306">
        <v>6</v>
      </c>
    </row>
    <row r="307" spans="2:3" x14ac:dyDescent="0.3">
      <c r="B307" s="5" t="s">
        <v>211</v>
      </c>
      <c r="C307">
        <v>5</v>
      </c>
    </row>
    <row r="308" spans="2:3" x14ac:dyDescent="0.3">
      <c r="B308" s="5" t="s">
        <v>289</v>
      </c>
      <c r="C308">
        <v>5</v>
      </c>
    </row>
    <row r="309" spans="2:3" x14ac:dyDescent="0.3">
      <c r="B309" s="5" t="s">
        <v>266</v>
      </c>
      <c r="C309">
        <v>4</v>
      </c>
    </row>
    <row r="310" spans="2:3" x14ac:dyDescent="0.3">
      <c r="B310" s="5" t="s">
        <v>229</v>
      </c>
      <c r="C310">
        <v>4</v>
      </c>
    </row>
    <row r="311" spans="2:3" x14ac:dyDescent="0.3">
      <c r="B311" s="5" t="s">
        <v>302</v>
      </c>
      <c r="C311">
        <v>4</v>
      </c>
    </row>
    <row r="312" spans="2:3" x14ac:dyDescent="0.3">
      <c r="B312" s="5" t="s">
        <v>305</v>
      </c>
      <c r="C312">
        <v>4</v>
      </c>
    </row>
    <row r="313" spans="2:3" x14ac:dyDescent="0.3">
      <c r="B313" s="5" t="s">
        <v>314</v>
      </c>
      <c r="C313">
        <v>2</v>
      </c>
    </row>
    <row r="314" spans="2:3" x14ac:dyDescent="0.3">
      <c r="B314" s="5" t="s">
        <v>794</v>
      </c>
      <c r="C314">
        <v>200</v>
      </c>
    </row>
    <row r="320" spans="2:3" x14ac:dyDescent="0.3">
      <c r="B320" s="4" t="s">
        <v>850</v>
      </c>
      <c r="C320" t="s">
        <v>849</v>
      </c>
    </row>
    <row r="321" spans="2:4" x14ac:dyDescent="0.3">
      <c r="B321" s="5" t="s">
        <v>437</v>
      </c>
      <c r="C321" s="12">
        <v>428.85714285714283</v>
      </c>
    </row>
    <row r="322" spans="2:4" x14ac:dyDescent="0.3">
      <c r="B322" s="5" t="s">
        <v>449</v>
      </c>
      <c r="C322" s="12">
        <v>447.23529411764707</v>
      </c>
    </row>
    <row r="323" spans="2:4" x14ac:dyDescent="0.3">
      <c r="B323" s="5" t="s">
        <v>446</v>
      </c>
      <c r="C323" s="12">
        <v>452.76470588235293</v>
      </c>
    </row>
    <row r="324" spans="2:4" x14ac:dyDescent="0.3">
      <c r="B324" s="5" t="s">
        <v>474</v>
      </c>
      <c r="C324" s="12">
        <v>478.63636363636363</v>
      </c>
    </row>
    <row r="325" spans="2:4" x14ac:dyDescent="0.3">
      <c r="B325" s="5" t="s">
        <v>431</v>
      </c>
      <c r="C325" s="12">
        <v>491.40909090909093</v>
      </c>
    </row>
    <row r="326" spans="2:4" x14ac:dyDescent="0.3">
      <c r="B326" s="5" t="s">
        <v>443</v>
      </c>
      <c r="C326" s="12">
        <v>512.26315789473688</v>
      </c>
    </row>
    <row r="327" spans="2:4" x14ac:dyDescent="0.3">
      <c r="B327" s="5" t="s">
        <v>434</v>
      </c>
      <c r="C327" s="12">
        <v>517.38888888888891</v>
      </c>
    </row>
    <row r="328" spans="2:4" x14ac:dyDescent="0.3">
      <c r="B328" s="5" t="s">
        <v>463</v>
      </c>
      <c r="C328" s="12">
        <v>570.61904761904759</v>
      </c>
    </row>
    <row r="329" spans="2:4" x14ac:dyDescent="0.3">
      <c r="B329" s="5" t="s">
        <v>417</v>
      </c>
      <c r="C329" s="12">
        <v>588.375</v>
      </c>
    </row>
    <row r="330" spans="2:4" x14ac:dyDescent="0.3">
      <c r="B330" s="5" t="s">
        <v>427</v>
      </c>
      <c r="C330" s="12">
        <v>605.42857142857144</v>
      </c>
    </row>
    <row r="331" spans="2:4" x14ac:dyDescent="0.3">
      <c r="B331" s="5" t="s">
        <v>440</v>
      </c>
      <c r="C331" s="12">
        <v>661.61538461538464</v>
      </c>
    </row>
    <row r="332" spans="2:4" x14ac:dyDescent="0.3">
      <c r="B332" s="5" t="s">
        <v>794</v>
      </c>
      <c r="C332" s="12">
        <v>522.01499999999999</v>
      </c>
    </row>
    <row r="336" spans="2:4" x14ac:dyDescent="0.3">
      <c r="B336" s="4" t="s">
        <v>806</v>
      </c>
      <c r="C336" t="s">
        <v>849</v>
      </c>
      <c r="D336" t="s">
        <v>851</v>
      </c>
    </row>
    <row r="337" spans="2:4" x14ac:dyDescent="0.3">
      <c r="B337" s="5" t="s">
        <v>418</v>
      </c>
      <c r="C337" s="12">
        <v>535.27522935779814</v>
      </c>
      <c r="D337" s="12">
        <v>936.11926605504584</v>
      </c>
    </row>
    <row r="338" spans="2:4" x14ac:dyDescent="0.3">
      <c r="B338" s="5" t="s">
        <v>423</v>
      </c>
      <c r="C338" s="12">
        <v>506.13186813186815</v>
      </c>
      <c r="D338" s="12">
        <v>940.1868131868132</v>
      </c>
    </row>
    <row r="339" spans="2:4" x14ac:dyDescent="0.3">
      <c r="B339" s="5" t="s">
        <v>794</v>
      </c>
      <c r="C339">
        <v>522.01499999999999</v>
      </c>
      <c r="D339">
        <v>937.97</v>
      </c>
    </row>
  </sheetData>
  <pageMargins left="0.7" right="0.7" top="0.75" bottom="0.75" header="0.3" footer="0.3"/>
  <drawing r:id="rId19"/>
  <extLst>
    <ext xmlns:x14="http://schemas.microsoft.com/office/spreadsheetml/2009/9/main" uri="{A8765BA9-456A-4dab-B4F3-ACF838C121DE}">
      <x14:slicerList>
        <x14:slicer r:id="rId2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7BA8E-DFBB-4E81-A1AD-6E675E03DE43}">
  <dimension ref="A1"/>
  <sheetViews>
    <sheetView showGridLines="0" showRowColHeaders="0" tabSelected="1" zoomScale="90" zoomScaleNormal="90" workbookViewId="0">
      <selection activeCell="U6" sqref="U6"/>
    </sheetView>
  </sheetViews>
  <sheetFormatPr defaultRowHeight="14.4" x14ac:dyDescent="0.3"/>
  <cols>
    <col min="2" max="3" width="8.88671875" customWidth="1"/>
    <col min="11" max="11" width="22.88671875" bestFit="1" customWidth="1"/>
    <col min="12" max="12" width="23.554687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13A02-6A1E-4F1E-A276-7545351CFC02}">
  <dimension ref="A1"/>
  <sheetViews>
    <sheetView showGridLines="0" zoomScale="84" workbookViewId="0">
      <selection activeCell="V18" sqref="V18"/>
    </sheetView>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49133-F317-4B17-923A-CE57A9B56574}">
  <dimension ref="A1"/>
  <sheetViews>
    <sheetView showGridLines="0" topLeftCell="A8" zoomScaleNormal="100" workbookViewId="0">
      <selection activeCell="U27" sqref="U27"/>
    </sheetView>
  </sheetViews>
  <sheetFormatPr defaultRowHeight="14.4" x14ac:dyDescent="0.3"/>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97AD9-9174-4B70-988C-FD4DD49CE359}">
  <dimension ref="U11:V35"/>
  <sheetViews>
    <sheetView showGridLines="0" zoomScale="76" workbookViewId="0">
      <selection activeCell="Y22" sqref="Y22"/>
    </sheetView>
  </sheetViews>
  <sheetFormatPr defaultRowHeight="14.4" x14ac:dyDescent="0.3"/>
  <cols>
    <col min="20" max="20" width="3.44140625" customWidth="1"/>
    <col min="21" max="21" width="18" bestFit="1" customWidth="1"/>
    <col min="22" max="22" width="23.21875" bestFit="1" customWidth="1"/>
  </cols>
  <sheetData>
    <row r="11" spans="21:22" x14ac:dyDescent="0.3">
      <c r="U11" s="4" t="s">
        <v>844</v>
      </c>
      <c r="V11" t="s">
        <v>845</v>
      </c>
    </row>
    <row r="12" spans="21:22" x14ac:dyDescent="0.3">
      <c r="U12" s="5" t="s">
        <v>238</v>
      </c>
      <c r="V12">
        <v>3</v>
      </c>
    </row>
    <row r="13" spans="21:22" x14ac:dyDescent="0.3">
      <c r="U13" s="5" t="s">
        <v>317</v>
      </c>
      <c r="V13">
        <v>2</v>
      </c>
    </row>
    <row r="14" spans="21:22" x14ac:dyDescent="0.3">
      <c r="U14" s="5" t="s">
        <v>333</v>
      </c>
      <c r="V14">
        <v>2</v>
      </c>
    </row>
    <row r="15" spans="21:22" x14ac:dyDescent="0.3">
      <c r="U15" s="5" t="s">
        <v>60</v>
      </c>
      <c r="V15">
        <v>2</v>
      </c>
    </row>
    <row r="16" spans="21:22" x14ac:dyDescent="0.3">
      <c r="U16" s="5" t="s">
        <v>278</v>
      </c>
      <c r="V16">
        <v>2</v>
      </c>
    </row>
    <row r="17" spans="21:22" x14ac:dyDescent="0.3">
      <c r="U17" s="5" t="s">
        <v>251</v>
      </c>
      <c r="V17">
        <v>2</v>
      </c>
    </row>
    <row r="18" spans="21:22" x14ac:dyDescent="0.3">
      <c r="U18" s="5" t="s">
        <v>273</v>
      </c>
      <c r="V18">
        <v>2</v>
      </c>
    </row>
    <row r="19" spans="21:22" x14ac:dyDescent="0.3">
      <c r="U19" s="5" t="s">
        <v>217</v>
      </c>
      <c r="V19">
        <v>2</v>
      </c>
    </row>
    <row r="20" spans="21:22" x14ac:dyDescent="0.3">
      <c r="U20" s="5" t="s">
        <v>312</v>
      </c>
      <c r="V20">
        <v>2</v>
      </c>
    </row>
    <row r="21" spans="21:22" x14ac:dyDescent="0.3">
      <c r="U21" s="5" t="s">
        <v>316</v>
      </c>
      <c r="V21">
        <v>2</v>
      </c>
    </row>
    <row r="22" spans="21:22" x14ac:dyDescent="0.3">
      <c r="U22" s="5" t="s">
        <v>367</v>
      </c>
      <c r="V22">
        <v>2</v>
      </c>
    </row>
    <row r="23" spans="21:22" x14ac:dyDescent="0.3">
      <c r="U23" s="5" t="s">
        <v>143</v>
      </c>
      <c r="V23">
        <v>2</v>
      </c>
    </row>
    <row r="24" spans="21:22" x14ac:dyDescent="0.3">
      <c r="U24" s="5" t="s">
        <v>357</v>
      </c>
      <c r="V24">
        <v>2</v>
      </c>
    </row>
    <row r="25" spans="21:22" x14ac:dyDescent="0.3">
      <c r="U25" s="5" t="s">
        <v>129</v>
      </c>
      <c r="V25">
        <v>2</v>
      </c>
    </row>
    <row r="26" spans="21:22" x14ac:dyDescent="0.3">
      <c r="U26" s="5" t="s">
        <v>174</v>
      </c>
      <c r="V26">
        <v>2</v>
      </c>
    </row>
    <row r="27" spans="21:22" x14ac:dyDescent="0.3">
      <c r="U27" s="5" t="s">
        <v>235</v>
      </c>
      <c r="V27">
        <v>2</v>
      </c>
    </row>
    <row r="28" spans="21:22" x14ac:dyDescent="0.3">
      <c r="U28" s="5" t="s">
        <v>259</v>
      </c>
      <c r="V28">
        <v>2</v>
      </c>
    </row>
    <row r="29" spans="21:22" x14ac:dyDescent="0.3">
      <c r="U29" s="5" t="s">
        <v>255</v>
      </c>
      <c r="V29">
        <v>2</v>
      </c>
    </row>
    <row r="30" spans="21:22" x14ac:dyDescent="0.3">
      <c r="U30" s="5" t="s">
        <v>332</v>
      </c>
      <c r="V30">
        <v>2</v>
      </c>
    </row>
    <row r="31" spans="21:22" x14ac:dyDescent="0.3">
      <c r="U31" s="5" t="s">
        <v>350</v>
      </c>
      <c r="V31">
        <v>2</v>
      </c>
    </row>
    <row r="32" spans="21:22" x14ac:dyDescent="0.3">
      <c r="U32" s="5" t="s">
        <v>264</v>
      </c>
      <c r="V32">
        <v>2</v>
      </c>
    </row>
    <row r="33" spans="21:22" x14ac:dyDescent="0.3">
      <c r="U33" s="5" t="s">
        <v>195</v>
      </c>
      <c r="V33">
        <v>2</v>
      </c>
    </row>
    <row r="34" spans="21:22" x14ac:dyDescent="0.3">
      <c r="U34" s="5" t="s">
        <v>366</v>
      </c>
      <c r="V34">
        <v>2</v>
      </c>
    </row>
    <row r="35" spans="21:22" x14ac:dyDescent="0.3">
      <c r="U35" s="5" t="s">
        <v>794</v>
      </c>
      <c r="V35">
        <v>47</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2B67589-07E8-4D5F-974B-DD475A5A7AC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Customer_payments</vt:lpstr>
      <vt:lpstr>Employee_details</vt:lpstr>
      <vt:lpstr>Shipment_Status</vt:lpstr>
      <vt:lpstr>Workbook</vt:lpstr>
      <vt:lpstr>Dashboard_Overview</vt:lpstr>
      <vt:lpstr>CUSTOMER_ANALYSIS_DASHBOARD</vt:lpstr>
      <vt:lpstr>SHIPMENT &amp; LOGISTICS DASHBOARD</vt:lpstr>
      <vt:lpstr>EMPLOYEE PERFORMANCE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Prajwal Biradar</dc:creator>
  <cp:lastModifiedBy>Prajwal Biradar</cp:lastModifiedBy>
  <dcterms:created xsi:type="dcterms:W3CDTF">2026-05-18T12:50:29Z</dcterms:created>
  <dcterms:modified xsi:type="dcterms:W3CDTF">2026-05-20T11:47:16Z</dcterms:modified>
</cp:coreProperties>
</file>